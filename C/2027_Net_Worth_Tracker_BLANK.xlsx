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ettings" sheetId="2" state="visible" r:id="rId4"/>
    <sheet name="Balances" sheetId="3" state="visible" r:id="rId5"/>
    <sheet name="Summary" sheetId="4" state="visible" r:id="rId6"/>
    <sheet name="By Category" sheetId="5" state="visible" r:id="rId7"/>
    <sheet name="Lis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<sst xmlns="http://schemas.openxmlformats.org/spreadsheetml/2006/main" count="161" uniqueCount="101">
  <si>
    <t xml:space="preserve">2027 Net Worth Tracker</t>
  </si>
  <si>
    <t xml:space="preserve">One balance per account, once a month. The workbook does the totals, the change and the chart.</t>
  </si>
  <si>
    <t xml:space="preserve">HOW TO USE</t>
  </si>
  <si>
    <t xml:space="preserve">1. Go to the Settings tab and type your net worth goal for Dec 31, 2027 (yellow cell).</t>
  </si>
  <si>
    <t xml:space="preserve">2. Go to the Balances tab. List each account once: name, Type (Asset or Debt) and Category - both are drop-down lists.</t>
  </si>
  <si>
    <t xml:space="preserve">3. In the Start column type each balance on Dec 31, 2026 (or the day you begin). Then add one balance per month, e.g. on the 1st.</t>
  </si>
  <si>
    <t xml:space="preserve">4. Type debts as POSITIVE numbers (what you owe). The workbook subtracts them for you.</t>
  </si>
  <si>
    <t xml:space="preserve">5. Open Summary for your monthly net worth, change, % of goal and the chart. By Category shows where the money sits.</t>
  </si>
  <si>
    <t xml:space="preserve">WHICH CELLS TO EDIT</t>
  </si>
  <si>
    <t xml:space="preserve">Yellow cells = your inputs. Everything else is a formula - no need to touch it. Months you have not filled in yet stay blank.</t>
  </si>
  <si>
    <t xml:space="preserve">Up to 40 accounts fit on the Balances tab. Leave unused rows empty.</t>
  </si>
  <si>
    <t xml:space="preserve">Works in Microsoft Excel and Google Sheets (File &gt; Import &gt; Upload in Google Sheets). Numbers show in $ but work for any currency.</t>
  </si>
  <si>
    <t xml:space="preserve">WHAT COUNTS</t>
  </si>
  <si>
    <t xml:space="preserve">Assets: cash, savings, investments, retirement accounts, the estimated value of your home or car, other things you could sell.</t>
  </si>
  <si>
    <t xml:space="preserve">Debts: credit card balances, loans, mortgage, money owed to others. Net worth = total assets - total debts.</t>
  </si>
  <si>
    <t xml:space="preserve">Use the same day each month and realistic values (e.g. what a car would sell for today) so the trend is honest.</t>
  </si>
  <si>
    <t xml:space="preserve">NOTE</t>
  </si>
  <si>
    <t xml:space="preserve">This tracker is a personal organizing tool, not financial advice. This is the blank copy - an example-filled copy is included in the download.</t>
  </si>
  <si>
    <t xml:space="preserve">Settings</t>
  </si>
  <si>
    <t xml:space="preserve">Net worth goal for Dec 31, 2027</t>
  </si>
  <si>
    <t xml:space="preserve">Emergency fund target (optional)</t>
  </si>
  <si>
    <t xml:space="preserve">The goal is used for '% of goal' on the Summary tab. The emergency fund target is compared with the 'Savings &amp; Emergency Fund' category.</t>
  </si>
  <si>
    <t xml:space="preserve">Balances - one number per account per month</t>
  </si>
  <si>
    <t xml:space="preserve">Yellow = type here. Debts as positive numbers. Leave a month blank until you reach it.</t>
  </si>
  <si>
    <t xml:space="preserve">Account</t>
  </si>
  <si>
    <t xml:space="preserve">Type</t>
  </si>
  <si>
    <t xml:space="preserve">Category</t>
  </si>
  <si>
    <t xml:space="preserve">Start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</si>
  <si>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</si>
  <si>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</si>
  <si>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</si>
  <si>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</si>
  <si>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</si>
  <si>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</si>
  <si>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</si>
  <si>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</si>
  <si>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</si>
  <si>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</si>
  <si>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</si>
  <si>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</si>
  <si>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Notes</t>
  </si>
  <si>
    <t xml:space="preserve">Checking account</t>
  </si>
  <si>
    <t xml:space="preserve">Asset</t>
  </si>
  <si>
    <t xml:space="preserve">Cash &amp; Checking</t>
  </si>
  <si>
    <t xml:space="preserve">Savings account</t>
  </si>
  <si>
    <t xml:space="preserve">Savings &amp; Emergency Fund</t>
  </si>
  <si>
    <t xml:space="preserve">Investment account</t>
  </si>
  <si>
    <t xml:space="preserve">Investments</t>
  </si>
  <si>
    <t xml:space="preserve">Retirement account</t>
  </si>
  <si>
    <t xml:space="preserve">Retirement</t>
  </si>
  <si>
    <t xml:space="preserve">Credit card</t>
  </si>
  <si>
    <t xml:space="preserve">Debt</t>
  </si>
  <si>
    <t xml:space="preserve">Credit Cards</t>
  </si>
  <si>
    <t xml:space="preserve">Loan</t>
  </si>
  <si>
    <t xml:space="preserve">Personal Loans</t>
  </si>
  <si>
    <t xml:space="preserve">Total assets</t>
  </si>
  <si>
    <t xml:space="preserve">Total debts</t>
  </si>
  <si>
    <t xml:space="preserve">Net worth</t>
  </si>
  <si>
    <t xml:space="preserve">Summary - net worth month by month</t>
  </si>
  <si>
    <t xml:space="preserve">All formulas. Fill in the Balances tab and this page updates.</t>
  </si>
  <si>
    <t xml:space="preserve">Month</t>
  </si>
  <si>
    <t xml:space="preserve">Change vs last month</t>
  </si>
  <si>
    <t xml:space="preserve">Change since start</t>
  </si>
  <si>
    <t xml:space="preserve">% of goal</t>
  </si>
  <si>
    <t xml:space="preserve">Debts / assets</t>
  </si>
  <si>
    <t xml:space="preserve">Key figures</t>
  </si>
  <si>
    <t xml:space="preserve">Start (Dec 31, 2026)</t>
  </si>
  <si>
    <t xml:space="preserve">Latest net worth</t>
  </si>
  <si>
    <t xml:space="preserve">Jan 2027</t>
  </si>
  <si>
    <t xml:space="preserve">Latest month entered</t>
  </si>
  <si>
    <t xml:space="preserve">Feb 2027</t>
  </si>
  <si>
    <t xml:space="preserve">Mar 2027</t>
  </si>
  <si>
    <t xml:space="preserve">Goal for Dec 31, 2027</t>
  </si>
  <si>
    <t xml:space="preserve">Apr 2027</t>
  </si>
  <si>
    <t xml:space="preserve">Still to go</t>
  </si>
  <si>
    <t xml:space="preserve">May 2027</t>
  </si>
  <si>
    <t xml:space="preserve">Best month (biggest increase)</t>
  </si>
  <si>
    <t xml:space="preserve">Jun 2027</t>
  </si>
  <si>
    <t xml:space="preserve">Average monthly change</t>
  </si>
  <si>
    <t xml:space="preserve">Jul 2027</t>
  </si>
  <si>
    <t xml:space="preserve">Emergency fund vs target</t>
  </si>
  <si>
    <t xml:space="preserve">Aug 2027</t>
  </si>
  <si>
    <t xml:space="preserve">Sep 2027</t>
  </si>
  <si>
    <t xml:space="preserve">Oct 2027</t>
  </si>
  <si>
    <t xml:space="preserve">Nov 2027</t>
  </si>
  <si>
    <t xml:space="preserve">Dec 2027</t>
  </si>
  <si>
    <t xml:space="preserve">By Category - where your money sits (and what you owe)</t>
  </si>
  <si>
    <t xml:space="preserve">ASSETS</t>
  </si>
  <si>
    <t xml:space="preserve">Home / Property</t>
  </si>
  <si>
    <t xml:space="preserve">Vehicles</t>
  </si>
  <si>
    <t xml:space="preserve">Other Assets</t>
  </si>
  <si>
    <t xml:space="preserve">DEBTS</t>
  </si>
  <si>
    <t xml:space="preserve">Student Loans</t>
  </si>
  <si>
    <t xml:space="preserve">Car Loans</t>
  </si>
  <si>
    <t xml:space="preserve">Mortgage</t>
  </si>
  <si>
    <t xml:space="preserve">Medical / Other Debt</t>
  </si>
  <si>
    <t xml:space="preserve">Emergency fund: latest 'Savings &amp; Emergency Fund' vs target on Settings</t>
  </si>
  <si>
    <t xml:space="preserve">% of target</t>
  </si>
  <si>
    <t xml:space="preserve">Asset categories</t>
  </si>
  <si>
    <t xml:space="preserve">Debt categories</t>
  </si>
  <si>
    <t xml:space="preserve">All categories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</si>
</sst>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%;\(0.0%\);\-"/>
    <numFmt numFmtId="167" formatCode="\$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F6B4F"/>
      <name val="Arial"/>
      <family val="0"/>
      <charset val="1"/>
    </font>
    <font>
      <i val="true"/>
      <sz val="9"/>
      <color rgb="FF6B7A82"/>
      <name val="Arial"/>
      <family val="0"/>
      <charset val="1"/>
    </font>
    <font>
      <b val="true"/>
      <sz val="11"/>
      <color rgb="FF2F6B4F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2F6B4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6CC"/>
        <bgColor rgb="FFE6F0EA"/>
      </patternFill>
    </fill>
    <fill>
      <patternFill patternType="solid">
        <fgColor rgb="FF2F6B4F"/>
        <bgColor rgb="FF1E7B4A"/>
      </patternFill>
    </fill>
    <fill>
      <patternFill patternType="solid">
        <fgColor rgb="FFE6F0EA"/>
        <bgColor rgb="FFFFF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CF"/>
      </left>
      <right style="thin">
        <color rgb="FFC9D3CF"/>
      </right>
      <top style="thin">
        <color rgb="FFC9D3CF"/>
      </top>
      <bottom style="thin">
        <color rgb="FFC9D3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color rgb="FFC0392B"/>
      </font>
    </dxf>
    <dxf>
      <font>
        <name val="Arial"/>
        <charset val="1"/>
        <family val="0"/>
        <color rgb="FF1E7B4A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B4A"/>
      <rgbColor rgb="FFBBBBBB"/>
      <rgbColor rgb="FF878787"/>
      <rgbColor rgb="FF9999FF"/>
      <rgbColor rgb="FFC0504D"/>
      <rgbColor rgb="FFFFF6CC"/>
      <rgbColor rgb="FFE6F0EA"/>
      <rgbColor rgb="FF660066"/>
      <rgbColor rgb="FFFF8080"/>
      <rgbColor rgb="FF0066CC"/>
      <rgbColor rgb="FFC9D3CF"/>
      <rgbColor rgb="FF000080"/>
      <rgbColor rgb="FFFF00FF"/>
      <rgbColor rgb="FFFFFF00"/>
      <rgbColor rgb="FF00FFFF"/>
      <rgbColor rgb="FF800080"/>
      <rgbColor rgb="FF800000"/>
      <rgbColor rgb="FF2F6B4F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B7A82"/>
      <rgbColor rgb="FF969696"/>
      <rgbColor rgb="FF003366"/>
      <rgbColor rgb="FF4F81BD"/>
      <rgbColor rgb="FF003300"/>
      <rgbColor rgb="FF333300"/>
      <rgbColor rgb="FFC0392B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worth 2027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Summary!D4</c:f>
              <c:strCache>
                <c:ptCount val="1"/>
                <c:pt idx="0">
                  <c:v>Net worth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Summary!$A$5:$A$17</c:f>
              <c:strCache>
                <c:ptCount val="13"/>
                <c:pt idx="0">
                  <c:v>Start (Dec 31, 2026)</c:v>
                </c:pt>
                <c:pt idx="1">
                  <c:v>Jan 2027</c:v>
                </c:pt>
                <c:pt idx="2">
                  <c:v>Feb 2027</c:v>
                </c:pt>
                <c:pt idx="3">
                  <c:v>Mar 2027</c:v>
                </c:pt>
                <c:pt idx="4">
                  <c:v>Apr 2027</c:v>
                </c:pt>
                <c:pt idx="5">
                  <c:v>May 2027</c:v>
                </c:pt>
                <c:pt idx="6">
                  <c:v>Jun 2027</c:v>
                </c:pt>
                <c:pt idx="7">
                  <c:v>Jul 2027</c:v>
                </c:pt>
                <c:pt idx="8">
                  <c:v>Aug 2027</c:v>
                </c:pt>
                <c:pt idx="9">
                  <c:v>Sep 2027</c:v>
                </c:pt>
                <c:pt idx="10">
                  <c:v>Oct 2027</c:v>
                </c:pt>
                <c:pt idx="11">
                  <c:v>Nov 2027</c:v>
                </c:pt>
                <c:pt idx="12">
                  <c:v>Dec 2027</c:v>
                </c:pt>
              </c:strCache>
            </c:strRef>
          </c:cat>
          <c:val>
            <c:numRef>
              <c:f>Summary!$D$5:$D$17</c:f>
              <c:numCache>
                <c:formatCode>General</c:formatCode>
                <c:ptCount val="13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0591468"/>
        <c:axId val="84368726"/>
      </c:lineChart>
      <c:catAx>
        <c:axId val="105914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368726"/>
        <c:crosses val="autoZero"/>
        <c:auto val="1"/>
        <c:lblAlgn val="ctr"/>
        <c:lblOffset val="100"/>
        <c:noMultiLvlLbl val="0"/>
      </c:catAx>
      <c:valAx>
        <c:axId val="843687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Net worth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5914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Assets vs debts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Summary!B4</c:f>
              <c:strCache>
                <c:ptCount val="1"/>
                <c:pt idx="0">
                  <c:v>Total assets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Summary!$A$5:$A$17</c:f>
              <c:strCache>
                <c:ptCount val="13"/>
                <c:pt idx="0">
                  <c:v>Start (Dec 31, 2026)</c:v>
                </c:pt>
                <c:pt idx="1">
                  <c:v>Jan 2027</c:v>
                </c:pt>
                <c:pt idx="2">
                  <c:v>Feb 2027</c:v>
                </c:pt>
                <c:pt idx="3">
                  <c:v>Mar 2027</c:v>
                </c:pt>
                <c:pt idx="4">
                  <c:v>Apr 2027</c:v>
                </c:pt>
                <c:pt idx="5">
                  <c:v>May 2027</c:v>
                </c:pt>
                <c:pt idx="6">
                  <c:v>Jun 2027</c:v>
                </c:pt>
                <c:pt idx="7">
                  <c:v>Jul 2027</c:v>
                </c:pt>
                <c:pt idx="8">
                  <c:v>Aug 2027</c:v>
                </c:pt>
                <c:pt idx="9">
                  <c:v>Sep 2027</c:v>
                </c:pt>
                <c:pt idx="10">
                  <c:v>Oct 2027</c:v>
                </c:pt>
                <c:pt idx="11">
                  <c:v>Nov 2027</c:v>
                </c:pt>
                <c:pt idx="12">
                  <c:v>Dec 2027</c:v>
                </c:pt>
              </c:strCache>
            </c:strRef>
          </c:cat>
          <c:val>
            <c:numRef>
              <c:f>Summary!$B$5:$B$17</c:f>
              <c:numCache>
                <c:formatCode>General</c:formatCode>
                <c:ptCount val="13"/>
              </c:numCache>
            </c:numRef>
          </c:val>
        </c:ser>
        <c:ser>
          <c:idx val="1"/>
          <c:order val="1"/>
          <c:tx>
            <c:strRef>
              <c:f>Summary!C4</c:f>
              <c:strCache>
                <c:ptCount val="1"/>
                <c:pt idx="0">
                  <c:v>Total debts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Summary!$A$5:$A$17</c:f>
              <c:strCache>
                <c:ptCount val="13"/>
                <c:pt idx="0">
                  <c:v>Start (Dec 31, 2026)</c:v>
                </c:pt>
                <c:pt idx="1">
                  <c:v>Jan 2027</c:v>
                </c:pt>
                <c:pt idx="2">
                  <c:v>Feb 2027</c:v>
                </c:pt>
                <c:pt idx="3">
                  <c:v>Mar 2027</c:v>
                </c:pt>
                <c:pt idx="4">
                  <c:v>Apr 2027</c:v>
                </c:pt>
                <c:pt idx="5">
                  <c:v>May 2027</c:v>
                </c:pt>
                <c:pt idx="6">
                  <c:v>Jun 2027</c:v>
                </c:pt>
                <c:pt idx="7">
                  <c:v>Jul 2027</c:v>
                </c:pt>
                <c:pt idx="8">
                  <c:v>Aug 2027</c:v>
                </c:pt>
                <c:pt idx="9">
                  <c:v>Sep 2027</c:v>
                </c:pt>
                <c:pt idx="10">
                  <c:v>Oct 2027</c:v>
                </c:pt>
                <c:pt idx="11">
                  <c:v>Nov 2027</c:v>
                </c:pt>
                <c:pt idx="12">
                  <c:v>Dec 2027</c:v>
                </c:pt>
              </c:strCache>
            </c:strRef>
          </c:cat>
          <c:val>
            <c:numRef>
              <c:f>Summary!$C$5:$C$17</c:f>
              <c:numCache>
                <c:formatCode>General</c:formatCode>
                <c:ptCount val="13"/>
              </c:numCache>
            </c:numRef>
          </c:val>
        </c:ser>
        <c:gapWidth val="150"/>
        <c:overlap val="0"/>
        <c:axId val="65955716"/>
        <c:axId val="79881961"/>
      </c:barChart>
      <c:catAx>
        <c:axId val="659557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881961"/>
        <c:crosses val="autoZero"/>
        <c:auto val="1"/>
        <c:lblAlgn val="ctr"/>
        <c:lblOffset val="100"/>
        <c:noMultiLvlLbl val="0"/>
      </c:catAx>
      <c:valAx>
        <c:axId val="798819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9557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100800</xdr:rowOff>
    </xdr:from>
    <xdr:to>
      <xdr:col>7</xdr:col>
      <xdr:colOff>95760</xdr:colOff>
      <xdr:row>33</xdr:row>
      <xdr:rowOff>123120</xdr:rowOff>
    </xdr:to>
    <xdr:graphicFrame>
      <xdr:nvGraphicFramePr>
        <xdr:cNvPr id="0" name="Chart 1"/>
        <xdr:cNvGraphicFramePr/>
      </xdr:nvGraphicFramePr>
      <xdr:xfrm>
        <a:off x="0" y="382896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13</xdr:row>
      <xdr:rowOff>100800</xdr:rowOff>
    </xdr:from>
    <xdr:to>
      <xdr:col>15</xdr:col>
      <xdr:colOff>71280</xdr:colOff>
      <xdr:row>28</xdr:row>
      <xdr:rowOff>123120</xdr:rowOff>
    </xdr:to>
    <xdr:graphicFrame>
      <xdr:nvGraphicFramePr>
        <xdr:cNvPr id="1" name="Chart 2"/>
        <xdr:cNvGraphicFramePr/>
      </xdr:nvGraphicFramePr>
      <xdr:xfrm>
        <a:off x="9351720" y="28764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6B4F"/>
    <pageSetUpPr fitToPage="false"/>
  </sheetPr>
  <dimension ref="B2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23.85" hidden="false" customHeight="false" outlineLevel="0" collapsed="false">
      <c r="B8" s="4" t="s">
        <v>5</v>
      </c>
    </row>
    <row r="9" customFormat="false" ht="15" hidden="false" customHeight="false" outlineLevel="0" collapsed="false">
      <c r="B9" s="4" t="s">
        <v>6</v>
      </c>
    </row>
    <row r="10" customFormat="false" ht="15" hidden="false" customHeight="false" outlineLevel="0" collapsed="false">
      <c r="B10" s="4" t="s">
        <v>7</v>
      </c>
    </row>
    <row r="11" customFormat="false" ht="15" hidden="false" customHeight="false" outlineLevel="0" collapsed="false">
      <c r="B11" s="4"/>
    </row>
    <row r="12" customFormat="false" ht="15" hidden="false" customHeight="false" outlineLevel="0" collapsed="false">
      <c r="B12" s="3" t="s">
        <v>8</v>
      </c>
    </row>
    <row r="13" customFormat="false" ht="15" hidden="false" customHeight="false" outlineLevel="0" collapsed="false">
      <c r="B13" s="4" t="s">
        <v>9</v>
      </c>
    </row>
    <row r="14" customFormat="false" ht="15" hidden="false" customHeight="false" outlineLevel="0" collapsed="false">
      <c r="B14" s="4" t="s">
        <v>10</v>
      </c>
    </row>
    <row r="15" customFormat="false" ht="23.85" hidden="false" customHeight="false" outlineLevel="0" collapsed="false">
      <c r="B15" s="4" t="s">
        <v>11</v>
      </c>
    </row>
    <row r="16" customFormat="false" ht="15" hidden="false" customHeight="false" outlineLevel="0" collapsed="false">
      <c r="B16" s="4"/>
    </row>
    <row r="17" customFormat="false" ht="15" hidden="false" customHeight="false" outlineLevel="0" collapsed="false">
      <c r="B17" s="3" t="s">
        <v>12</v>
      </c>
    </row>
    <row r="18" customFormat="false" ht="23.85" hidden="false" customHeight="false" outlineLevel="0" collapsed="false">
      <c r="B18" s="4" t="s">
        <v>13</v>
      </c>
    </row>
    <row r="19" customFormat="false" ht="15" hidden="false" customHeight="false" outlineLevel="0" collapsed="false">
      <c r="B19" s="4" t="s">
        <v>14</v>
      </c>
    </row>
    <row r="20" customFormat="false" ht="15" hidden="false" customHeight="false" outlineLevel="0" collapsed="false">
      <c r="B20" s="4" t="s">
        <v>15</v>
      </c>
    </row>
    <row r="21" customFormat="false" ht="15" hidden="false" customHeight="false" outlineLevel="0" collapsed="false">
      <c r="B21" s="4"/>
    </row>
    <row r="22" customFormat="false" ht="15" hidden="false" customHeight="false" outlineLevel="0" collapsed="false">
      <c r="B22" s="3" t="s">
        <v>16</v>
      </c>
    </row>
    <row r="23" customFormat="false" ht="23.85" hidden="false" customHeight="false" outlineLevel="0" collapsed="false">
      <c r="B23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6B4F"/>
    <pageSetUpPr fitToPage="false"/>
  </sheetPr>
  <dimension ref="B2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8"/>
  </cols>
  <sheetData>
    <row r="2" customFormat="false" ht="22.05" hidden="false" customHeight="false" outlineLevel="0" collapsed="false">
      <c r="B2" s="1" t="s">
        <v>18</v>
      </c>
    </row>
    <row r="4" customFormat="false" ht="15" hidden="false" customHeight="false" outlineLevel="0" collapsed="false">
      <c r="B4" s="5" t="s">
        <v>19</v>
      </c>
      <c r="C4" s="6" t="n">
        <v>0</v>
      </c>
    </row>
    <row r="5" customFormat="false" ht="15" hidden="false" customHeight="false" outlineLevel="0" collapsed="false">
      <c r="B5" s="5" t="s">
        <v>20</v>
      </c>
      <c r="C5" s="6" t="n">
        <v>0</v>
      </c>
    </row>
    <row r="7" customFormat="false" ht="39.75" hidden="false" customHeight="true" outlineLevel="0" collapsed="false">
      <c r="B7" s="7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6B4F"/>
    <pageSetUpPr fitToPage="false"/>
  </sheetPr>
  <dimension ref="A1:Q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16" min="4" style="0" width="10.51"/>
    <col collapsed="false" customWidth="true" hidden="false" outlineLevel="0" max="17" min="17" style="0" width="24"/>
  </cols>
  <sheetData>
    <row r="1" customFormat="false" ht="22.05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5" customFormat="false" ht="30" hidden="false" customHeight="true" outlineLevel="0" collapsed="false">
      <c r="A5" s="8" t="s">
        <v>24</v>
      </c>
      <c r="B5" s="8" t="s">
        <v>25</v>
      </c>
      <c r="C5" s="8" t="s">
        <v>26</v>
      </c>
      <c r="D5" s="8" t="s">
        <v>27</v>
      </c>
      <c r="E5" s="8" t="s">
        <v>28</v>
      </c>
      <c r="F5" s="8" t="s">
        <v>29</v>
      </c>
      <c r="G5" s="8" t="s">
        <v>30</v>
      </c>
      <c r="H5" s="8" t="s">
        <v>31</v>
      </c>
      <c r="I5" s="8" t="s">
        <v>32</v>
      </c>
      <c r="J5" s="8" t="s">
        <v>33</v>
      </c>
      <c r="K5" s="8" t="s">
        <v>34</v>
      </c>
      <c r="L5" s="8" t="s">
        <v>35</v>
      </c>
      <c r="M5" s="8" t="s">
        <v>36</v>
      </c>
      <c r="N5" s="8" t="s">
        <v>37</v>
      </c>
      <c r="O5" s="8" t="s">
        <v>38</v>
      </c>
      <c r="P5" s="8" t="s">
        <v>39</v>
      </c>
      <c r="Q5" s="8" t="s">
        <v>40</v>
      </c>
    </row>
    <row r="6" customFormat="false" ht="15" hidden="false" customHeight="false" outlineLevel="0" collapsed="false">
      <c r="A6" s="9" t="s">
        <v>41</v>
      </c>
      <c r="B6" s="9" t="s">
        <v>42</v>
      </c>
      <c r="C6" s="9" t="s">
        <v>43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9"/>
    </row>
    <row r="7" customFormat="false" ht="15" hidden="false" customHeight="false" outlineLevel="0" collapsed="false">
      <c r="A7" s="9" t="s">
        <v>44</v>
      </c>
      <c r="B7" s="9" t="s">
        <v>42</v>
      </c>
      <c r="C7" s="9" t="s">
        <v>45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9"/>
    </row>
    <row r="8" customFormat="false" ht="15" hidden="false" customHeight="false" outlineLevel="0" collapsed="false">
      <c r="A8" s="9" t="s">
        <v>46</v>
      </c>
      <c r="B8" s="9" t="s">
        <v>42</v>
      </c>
      <c r="C8" s="9" t="s">
        <v>47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9"/>
    </row>
    <row r="9" customFormat="false" ht="15" hidden="false" customHeight="false" outlineLevel="0" collapsed="false">
      <c r="A9" s="9" t="s">
        <v>48</v>
      </c>
      <c r="B9" s="9" t="s">
        <v>42</v>
      </c>
      <c r="C9" s="9" t="s">
        <v>49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9"/>
    </row>
    <row r="10" customFormat="false" ht="15" hidden="false" customHeight="false" outlineLevel="0" collapsed="false">
      <c r="A10" s="9" t="s">
        <v>50</v>
      </c>
      <c r="B10" s="9" t="s">
        <v>51</v>
      </c>
      <c r="C10" s="9" t="s">
        <v>52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9"/>
    </row>
    <row r="11" customFormat="false" ht="15" hidden="false" customHeight="false" outlineLevel="0" collapsed="false">
      <c r="A11" s="9" t="s">
        <v>53</v>
      </c>
      <c r="B11" s="9" t="s">
        <v>51</v>
      </c>
      <c r="C11" s="9" t="s">
        <v>54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9"/>
    </row>
    <row r="12" customFormat="false" ht="15" hidden="false" customHeight="false" outlineLevel="0" collapsed="false">
      <c r="A12" s="9"/>
      <c r="B12" s="9"/>
      <c r="C12" s="9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9"/>
    </row>
    <row r="13" customFormat="false" ht="15" hidden="false" customHeight="false" outlineLevel="0" collapsed="false">
      <c r="A13" s="9"/>
      <c r="B13" s="9"/>
      <c r="C13" s="9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9"/>
    </row>
    <row r="14" customFormat="false" ht="15" hidden="false" customHeight="false" outlineLevel="0" collapsed="false">
      <c r="A14" s="9"/>
      <c r="B14" s="9"/>
      <c r="C14" s="9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9"/>
    </row>
    <row r="15" customFormat="false" ht="15" hidden="false" customHeight="false" outlineLevel="0" collapsed="false">
      <c r="A15" s="9"/>
      <c r="B15" s="9"/>
      <c r="C15" s="9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9"/>
    </row>
    <row r="16" customFormat="false" ht="15" hidden="false" customHeight="false" outlineLevel="0" collapsed="false">
      <c r="A16" s="9"/>
      <c r="B16" s="9"/>
      <c r="C16" s="9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9"/>
    </row>
    <row r="17" customFormat="false" ht="15" hidden="false" customHeight="false" outlineLevel="0" collapsed="false">
      <c r="A17" s="9"/>
      <c r="B17" s="9"/>
      <c r="C17" s="9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9"/>
    </row>
    <row r="18" customFormat="false" ht="15" hidden="false" customHeight="false" outlineLevel="0" collapsed="false">
      <c r="A18" s="9"/>
      <c r="B18" s="9"/>
      <c r="C18" s="9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9"/>
    </row>
    <row r="19" customFormat="false" ht="15" hidden="false" customHeight="false" outlineLevel="0" collapsed="false">
      <c r="A19" s="9"/>
      <c r="B19" s="9"/>
      <c r="C19" s="9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9"/>
    </row>
    <row r="20" customFormat="false" ht="15" hidden="false" customHeight="false" outlineLevel="0" collapsed="false">
      <c r="A20" s="9"/>
      <c r="B20" s="9"/>
      <c r="C20" s="9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9"/>
    </row>
    <row r="21" customFormat="false" ht="15" hidden="false" customHeight="false" outlineLevel="0" collapsed="false">
      <c r="A21" s="9"/>
      <c r="B21" s="9"/>
      <c r="C21" s="9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9"/>
    </row>
    <row r="22" customFormat="false" ht="15" hidden="false" customHeight="false" outlineLevel="0" collapsed="false">
      <c r="A22" s="9"/>
      <c r="B22" s="9"/>
      <c r="C22" s="9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9"/>
    </row>
    <row r="23" customFormat="false" ht="15" hidden="false" customHeight="false" outlineLevel="0" collapsed="false">
      <c r="A23" s="9"/>
      <c r="B23" s="9"/>
      <c r="C23" s="9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9"/>
    </row>
    <row r="24" customFormat="false" ht="15" hidden="false" customHeight="false" outlineLevel="0" collapsed="false">
      <c r="A24" s="9"/>
      <c r="B24" s="9"/>
      <c r="C24" s="9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9"/>
    </row>
    <row r="25" customFormat="false" ht="15" hidden="false" customHeight="false" outlineLevel="0" collapsed="false">
      <c r="A25" s="9"/>
      <c r="B25" s="9"/>
      <c r="C25" s="9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9"/>
    </row>
    <row r="26" customFormat="false" ht="15" hidden="false" customHeight="false" outlineLevel="0" collapsed="false">
      <c r="A26" s="9"/>
      <c r="B26" s="9"/>
      <c r="C26" s="9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9"/>
    </row>
    <row r="27" customFormat="false" ht="15" hidden="false" customHeight="false" outlineLevel="0" collapsed="false">
      <c r="A27" s="9"/>
      <c r="B27" s="9"/>
      <c r="C27" s="9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9"/>
    </row>
    <row r="28" customFormat="false" ht="15" hidden="false" customHeight="false" outlineLevel="0" collapsed="false">
      <c r="A28" s="9"/>
      <c r="B28" s="9"/>
      <c r="C28" s="9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9"/>
    </row>
    <row r="29" customFormat="false" ht="15" hidden="false" customHeight="false" outlineLevel="0" collapsed="false">
      <c r="A29" s="9"/>
      <c r="B29" s="9"/>
      <c r="C29" s="9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9"/>
    </row>
    <row r="30" customFormat="false" ht="15" hidden="false" customHeight="false" outlineLevel="0" collapsed="false">
      <c r="A30" s="9"/>
      <c r="B30" s="9"/>
      <c r="C30" s="9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9"/>
    </row>
    <row r="31" customFormat="false" ht="15" hidden="false" customHeight="false" outlineLevel="0" collapsed="false">
      <c r="A31" s="9"/>
      <c r="B31" s="9"/>
      <c r="C31" s="9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9"/>
    </row>
    <row r="32" customFormat="false" ht="15" hidden="false" customHeight="false" outlineLevel="0" collapsed="false">
      <c r="A32" s="9"/>
      <c r="B32" s="9"/>
      <c r="C32" s="9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9"/>
    </row>
    <row r="33" customFormat="false" ht="15" hidden="false" customHeight="false" outlineLevel="0" collapsed="false">
      <c r="A33" s="9"/>
      <c r="B33" s="9"/>
      <c r="C33" s="9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9"/>
    </row>
    <row r="34" customFormat="false" ht="15" hidden="false" customHeight="false" outlineLevel="0" collapsed="false">
      <c r="A34" s="9"/>
      <c r="B34" s="9"/>
      <c r="C34" s="9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9"/>
    </row>
    <row r="35" customFormat="false" ht="15" hidden="false" customHeight="false" outlineLevel="0" collapsed="false">
      <c r="A35" s="9"/>
      <c r="B35" s="9"/>
      <c r="C35" s="9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9"/>
    </row>
    <row r="36" customFormat="false" ht="15" hidden="false" customHeight="false" outlineLevel="0" collapsed="false">
      <c r="A36" s="9"/>
      <c r="B36" s="9"/>
      <c r="C36" s="9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9"/>
    </row>
    <row r="37" customFormat="false" ht="15" hidden="false" customHeight="false" outlineLevel="0" collapsed="false">
      <c r="A37" s="9"/>
      <c r="B37" s="9"/>
      <c r="C37" s="9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9"/>
    </row>
    <row r="38" customFormat="false" ht="15" hidden="false" customHeight="false" outlineLevel="0" collapsed="false">
      <c r="A38" s="9"/>
      <c r="B38" s="9"/>
      <c r="C38" s="9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9"/>
    </row>
    <row r="39" customFormat="false" ht="15" hidden="false" customHeight="false" outlineLevel="0" collapsed="false">
      <c r="A39" s="9"/>
      <c r="B39" s="9"/>
      <c r="C39" s="9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9"/>
    </row>
    <row r="40" customFormat="false" ht="15" hidden="false" customHeight="false" outlineLevel="0" collapsed="false">
      <c r="A40" s="9"/>
      <c r="B40" s="9"/>
      <c r="C40" s="9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9"/>
    </row>
    <row r="41" customFormat="false" ht="15" hidden="false" customHeight="false" outlineLevel="0" collapsed="false">
      <c r="A41" s="9"/>
      <c r="B41" s="9"/>
      <c r="C41" s="9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9"/>
    </row>
    <row r="42" customFormat="false" ht="15" hidden="false" customHeight="false" outlineLevel="0" collapsed="false">
      <c r="A42" s="9"/>
      <c r="B42" s="9"/>
      <c r="C42" s="9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9"/>
    </row>
    <row r="43" customFormat="false" ht="15" hidden="false" customHeight="false" outlineLevel="0" collapsed="false">
      <c r="A43" s="9"/>
      <c r="B43" s="9"/>
      <c r="C43" s="9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9"/>
    </row>
    <row r="44" customFormat="false" ht="15" hidden="false" customHeight="false" outlineLevel="0" collapsed="false">
      <c r="A44" s="9"/>
      <c r="B44" s="9"/>
      <c r="C44" s="9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9"/>
    </row>
    <row r="45" customFormat="false" ht="15" hidden="false" customHeight="false" outlineLevel="0" collapsed="false">
      <c r="A45" s="9"/>
      <c r="B45" s="9"/>
      <c r="C45" s="9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9"/>
    </row>
    <row r="47" customFormat="false" ht="15" hidden="false" customHeight="false" outlineLevel="0" collapsed="false">
      <c r="A47" s="10" t="s">
        <v>55</v>
      </c>
      <c r="B47" s="11"/>
      <c r="C47" s="11"/>
      <c r="D47" s="12" t="str">
        <f aca="false">IF(COUNT(D6:D45)=0,"",SUMIF($B$6:$B$45,"Asset",D6:D45))</f>
        <v/>
      </c>
      <c r="E47" s="12" t="str">
        <f aca="false">IF(COUNT(E6:E45)=0,"",SUMIF($B$6:$B$45,"Asset",E6:E45))</f>
        <v/>
      </c>
      <c r="F47" s="12" t="str">
        <f aca="false">IF(COUNT(F6:F45)=0,"",SUMIF($B$6:$B$45,"Asset",F6:F45))</f>
        <v/>
      </c>
      <c r="G47" s="12" t="str">
        <f aca="false">IF(COUNT(G6:G45)=0,"",SUMIF($B$6:$B$45,"Asset",G6:G45))</f>
        <v/>
      </c>
      <c r="H47" s="12" t="str">
        <f aca="false">IF(COUNT(H6:H45)=0,"",SUMIF($B$6:$B$45,"Asset",H6:H45))</f>
        <v/>
      </c>
      <c r="I47" s="12" t="str">
        <f aca="false">IF(COUNT(I6:I45)=0,"",SUMIF($B$6:$B$45,"Asset",I6:I45))</f>
        <v/>
      </c>
      <c r="J47" s="12" t="str">
        <f aca="false">IF(COUNT(J6:J45)=0,"",SUMIF($B$6:$B$45,"Asset",J6:J45))</f>
        <v/>
      </c>
      <c r="K47" s="12" t="str">
        <f aca="false">IF(COUNT(K6:K45)=0,"",SUMIF($B$6:$B$45,"Asset",K6:K45))</f>
        <v/>
      </c>
      <c r="L47" s="12" t="str">
        <f aca="false">IF(COUNT(L6:L45)=0,"",SUMIF($B$6:$B$45,"Asset",L6:L45))</f>
        <v/>
      </c>
      <c r="M47" s="12" t="str">
        <f aca="false">IF(COUNT(M6:M45)=0,"",SUMIF($B$6:$B$45,"Asset",M6:M45))</f>
        <v/>
      </c>
      <c r="N47" s="12" t="str">
        <f aca="false">IF(COUNT(N6:N45)=0,"",SUMIF($B$6:$B$45,"Asset",N6:N45))</f>
        <v/>
      </c>
      <c r="O47" s="12" t="str">
        <f aca="false">IF(COUNT(O6:O45)=0,"",SUMIF($B$6:$B$45,"Asset",O6:O45))</f>
        <v/>
      </c>
      <c r="P47" s="12" t="str">
        <f aca="false">IF(COUNT(P6:P45)=0,"",SUMIF($B$6:$B$45,"Asset",P6:P45))</f>
        <v/>
      </c>
    </row>
    <row r="48" customFormat="false" ht="15" hidden="false" customHeight="false" outlineLevel="0" collapsed="false">
      <c r="A48" s="10" t="s">
        <v>56</v>
      </c>
      <c r="B48" s="11"/>
      <c r="C48" s="11"/>
      <c r="D48" s="12" t="str">
        <f aca="false">IF(COUNT(D6:D45)=0,"",SUMIF($B$6:$B$45,"Debt",D6:D45))</f>
        <v/>
      </c>
      <c r="E48" s="12" t="str">
        <f aca="false">IF(COUNT(E6:E45)=0,"",SUMIF($B$6:$B$45,"Debt",E6:E45))</f>
        <v/>
      </c>
      <c r="F48" s="12" t="str">
        <f aca="false">IF(COUNT(F6:F45)=0,"",SUMIF($B$6:$B$45,"Debt",F6:F45))</f>
        <v/>
      </c>
      <c r="G48" s="12" t="str">
        <f aca="false">IF(COUNT(G6:G45)=0,"",SUMIF($B$6:$B$45,"Debt",G6:G45))</f>
        <v/>
      </c>
      <c r="H48" s="12" t="str">
        <f aca="false">IF(COUNT(H6:H45)=0,"",SUMIF($B$6:$B$45,"Debt",H6:H45))</f>
        <v/>
      </c>
      <c r="I48" s="12" t="str">
        <f aca="false">IF(COUNT(I6:I45)=0,"",SUMIF($B$6:$B$45,"Debt",I6:I45))</f>
        <v/>
      </c>
      <c r="J48" s="12" t="str">
        <f aca="false">IF(COUNT(J6:J45)=0,"",SUMIF($B$6:$B$45,"Debt",J6:J45))</f>
        <v/>
      </c>
      <c r="K48" s="12" t="str">
        <f aca="false">IF(COUNT(K6:K45)=0,"",SUMIF($B$6:$B$45,"Debt",K6:K45))</f>
        <v/>
      </c>
      <c r="L48" s="12" t="str">
        <f aca="false">IF(COUNT(L6:L45)=0,"",SUMIF($B$6:$B$45,"Debt",L6:L45))</f>
        <v/>
      </c>
      <c r="M48" s="12" t="str">
        <f aca="false">IF(COUNT(M6:M45)=0,"",SUMIF($B$6:$B$45,"Debt",M6:M45))</f>
        <v/>
      </c>
      <c r="N48" s="12" t="str">
        <f aca="false">IF(COUNT(N6:N45)=0,"",SUMIF($B$6:$B$45,"Debt",N6:N45))</f>
        <v/>
      </c>
      <c r="O48" s="12" t="str">
        <f aca="false">IF(COUNT(O6:O45)=0,"",SUMIF($B$6:$B$45,"Debt",O6:O45))</f>
        <v/>
      </c>
      <c r="P48" s="12" t="str">
        <f aca="false">IF(COUNT(P6:P45)=0,"",SUMIF($B$6:$B$45,"Debt",P6:P45))</f>
        <v/>
      </c>
    </row>
    <row r="49" customFormat="false" ht="15" hidden="false" customHeight="false" outlineLevel="0" collapsed="false">
      <c r="A49" s="10" t="s">
        <v>57</v>
      </c>
      <c r="B49" s="11"/>
      <c r="C49" s="11"/>
      <c r="D49" s="12" t="str">
        <f aca="false">IF(D47="","",D47-D48)</f>
        <v/>
      </c>
      <c r="E49" s="12" t="str">
        <f aca="false">IF(E47="","",E47-E48)</f>
        <v/>
      </c>
      <c r="F49" s="12" t="str">
        <f aca="false">IF(F47="","",F47-F48)</f>
        <v/>
      </c>
      <c r="G49" s="12" t="str">
        <f aca="false">IF(G47="","",G47-G48)</f>
        <v/>
      </c>
      <c r="H49" s="12" t="str">
        <f aca="false">IF(H47="","",H47-H48)</f>
        <v/>
      </c>
      <c r="I49" s="12" t="str">
        <f aca="false">IF(I47="","",I47-I48)</f>
        <v/>
      </c>
      <c r="J49" s="12" t="str">
        <f aca="false">IF(J47="","",J47-J48)</f>
        <v/>
      </c>
      <c r="K49" s="12" t="str">
        <f aca="false">IF(K47="","",K47-K48)</f>
        <v/>
      </c>
      <c r="L49" s="12" t="str">
        <f aca="false">IF(L47="","",L47-L48)</f>
        <v/>
      </c>
      <c r="M49" s="12" t="str">
        <f aca="false">IF(M47="","",M47-M48)</f>
        <v/>
      </c>
      <c r="N49" s="12" t="str">
        <f aca="false">IF(N47="","",N47-N48)</f>
        <v/>
      </c>
      <c r="O49" s="12" t="str">
        <f aca="false">IF(O47="","",O47-O48)</f>
        <v/>
      </c>
      <c r="P49" s="12" t="str">
        <f aca="false">IF(P47="","",P47-P48)</f>
        <v/>
      </c>
    </row>
  </sheetData>
  <dataValidations count="3">
    <dataValidation allowBlank="true" errorStyle="stop" operator="between" showDropDown="false" showErrorMessage="false" showInputMessage="false" sqref="B6:B45" type="list">
      <formula1>Lists!$A$2:$A$3</formula1>
      <formula2>0</formula2>
    </dataValidation>
    <dataValidation allowBlank="true" errorStyle="stop" operator="between" showDropDown="false" showErrorMessage="false" showInputMessage="false" sqref="C6:C45" type="list">
      <formula1>Lists!$D$2:$D$14</formula1>
      <formula2>0</formula2>
    </dataValidation>
    <dataValidation allowBlank="true" error="Type balances as positive numbers (debts too)." errorStyle="stop" errorTitle="Positive numbers only" operator="greaterThanOrEqual" showDropDown="false" showErrorMessage="true" showInputMessage="false" sqref="D6:P4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6B4F"/>
    <pageSetUpPr fitToPage="false"/>
  </sheetPr>
  <dimension ref="A1:K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5"/>
    <col collapsed="false" customWidth="true" hidden="false" outlineLevel="0" max="6" min="5" style="0" width="17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10" min="10" style="0" width="30"/>
    <col collapsed="false" customWidth="true" hidden="false" outlineLevel="0" max="11" min="11" style="0" width="16"/>
  </cols>
  <sheetData>
    <row r="1" customFormat="false" ht="22.05" hidden="false" customHeight="false" outlineLevel="0" collapsed="false">
      <c r="A1" s="1" t="s">
        <v>58</v>
      </c>
    </row>
    <row r="2" customFormat="false" ht="15" hidden="false" customHeight="false" outlineLevel="0" collapsed="false">
      <c r="A2" s="2" t="s">
        <v>59</v>
      </c>
    </row>
    <row r="4" customFormat="false" ht="31.5" hidden="false" customHeight="true" outlineLevel="0" collapsed="false">
      <c r="A4" s="8" t="s">
        <v>60</v>
      </c>
      <c r="B4" s="8" t="s">
        <v>55</v>
      </c>
      <c r="C4" s="8" t="s">
        <v>56</v>
      </c>
      <c r="D4" s="8" t="s">
        <v>57</v>
      </c>
      <c r="E4" s="8" t="s">
        <v>61</v>
      </c>
      <c r="F4" s="8" t="s">
        <v>62</v>
      </c>
      <c r="G4" s="8" t="s">
        <v>63</v>
      </c>
      <c r="H4" s="8" t="s">
        <v>64</v>
      </c>
      <c r="J4" s="13" t="s">
        <v>65</v>
      </c>
    </row>
    <row r="5" customFormat="false" ht="15" hidden="false" customHeight="false" outlineLevel="0" collapsed="false">
      <c r="A5" s="14" t="s">
        <v>66</v>
      </c>
      <c r="B5" s="15" t="str">
        <f aca="false">Balances!D47</f>
        <v/>
      </c>
      <c r="C5" s="15" t="str">
        <f aca="false">Balances!D48</f>
        <v/>
      </c>
      <c r="D5" s="15" t="str">
        <f aca="false">Balances!D49</f>
        <v/>
      </c>
      <c r="E5" s="15" t="str">
        <f aca="false">""</f>
        <v/>
      </c>
      <c r="F5" s="15" t="str">
        <f aca="false">IF(OR(D5="",$D$5=""),"",D5-$D$5)</f>
        <v/>
      </c>
      <c r="G5" s="16" t="str">
        <f aca="false">IF(OR(D5="",Settings!$C$4&lt;=0),"",D5/Settings!$C$4)</f>
        <v/>
      </c>
      <c r="H5" s="16" t="str">
        <f aca="false">IF(OR(B5="",N(B5)=0),"",C5/B5)</f>
        <v/>
      </c>
      <c r="J5" s="5" t="s">
        <v>67</v>
      </c>
      <c r="K5" s="17" t="str">
        <f aca="false">IF(COUNT(D5:D17)=0,"",LOOKUP(2,1/(D5:D17&lt;&gt;""),D5:D17))</f>
        <v/>
      </c>
    </row>
    <row r="6" customFormat="false" ht="15" hidden="false" customHeight="false" outlineLevel="0" collapsed="false">
      <c r="A6" s="14" t="s">
        <v>68</v>
      </c>
      <c r="B6" s="15" t="str">
        <f aca="false">Balances!E47</f>
        <v/>
      </c>
      <c r="C6" s="15" t="str">
        <f aca="false">Balances!E48</f>
        <v/>
      </c>
      <c r="D6" s="15" t="str">
        <f aca="false">Balances!E49</f>
        <v/>
      </c>
      <c r="E6" s="15" t="str">
        <f aca="false">IF(OR(D6="",D5=""),"",D6-D5)</f>
        <v/>
      </c>
      <c r="F6" s="15" t="str">
        <f aca="false">IF(OR(D6="",$D$5=""),"",D6-$D$5)</f>
        <v/>
      </c>
      <c r="G6" s="16" t="str">
        <f aca="false">IF(OR(D6="",Settings!$C$4&lt;=0),"",D6/Settings!$C$4)</f>
        <v/>
      </c>
      <c r="H6" s="16" t="str">
        <f aca="false">IF(OR(B6="",N(B6)=0),"",C6/B6)</f>
        <v/>
      </c>
      <c r="J6" s="5" t="s">
        <v>69</v>
      </c>
      <c r="K6" s="18" t="str">
        <f aca="false">IF(COUNT(D5:D17)=0,"",LOOKUP(2,1/(D5:D17&lt;&gt;""),A5:A17))</f>
        <v/>
      </c>
    </row>
    <row r="7" customFormat="false" ht="15" hidden="false" customHeight="false" outlineLevel="0" collapsed="false">
      <c r="A7" s="14" t="s">
        <v>70</v>
      </c>
      <c r="B7" s="15" t="str">
        <f aca="false">Balances!F47</f>
        <v/>
      </c>
      <c r="C7" s="15" t="str">
        <f aca="false">Balances!F48</f>
        <v/>
      </c>
      <c r="D7" s="15" t="str">
        <f aca="false">Balances!F49</f>
        <v/>
      </c>
      <c r="E7" s="15" t="str">
        <f aca="false">IF(OR(D7="",D6=""),"",D7-D6)</f>
        <v/>
      </c>
      <c r="F7" s="15" t="str">
        <f aca="false">IF(OR(D7="",$D$5=""),"",D7-$D$5)</f>
        <v/>
      </c>
      <c r="G7" s="16" t="str">
        <f aca="false">IF(OR(D7="",Settings!$C$4&lt;=0),"",D7/Settings!$C$4)</f>
        <v/>
      </c>
      <c r="H7" s="16" t="str">
        <f aca="false">IF(OR(B7="",N(B7)=0),"",C7/B7)</f>
        <v/>
      </c>
      <c r="J7" s="5" t="s">
        <v>62</v>
      </c>
      <c r="K7" s="17" t="str">
        <f aca="false">IF(OR(K5="",D5=""),"",K5-D5)</f>
        <v/>
      </c>
    </row>
    <row r="8" customFormat="false" ht="15" hidden="false" customHeight="false" outlineLevel="0" collapsed="false">
      <c r="A8" s="14" t="s">
        <v>71</v>
      </c>
      <c r="B8" s="15" t="str">
        <f aca="false">Balances!G47</f>
        <v/>
      </c>
      <c r="C8" s="15" t="str">
        <f aca="false">Balances!G48</f>
        <v/>
      </c>
      <c r="D8" s="15" t="str">
        <f aca="false">Balances!G49</f>
        <v/>
      </c>
      <c r="E8" s="15" t="str">
        <f aca="false">IF(OR(D8="",D7=""),"",D8-D7)</f>
        <v/>
      </c>
      <c r="F8" s="15" t="str">
        <f aca="false">IF(OR(D8="",$D$5=""),"",D8-$D$5)</f>
        <v/>
      </c>
      <c r="G8" s="16" t="str">
        <f aca="false">IF(OR(D8="",Settings!$C$4&lt;=0),"",D8/Settings!$C$4)</f>
        <v/>
      </c>
      <c r="H8" s="16" t="str">
        <f aca="false">IF(OR(B8="",N(B8)=0),"",C8/B8)</f>
        <v/>
      </c>
      <c r="J8" s="5" t="s">
        <v>72</v>
      </c>
      <c r="K8" s="17" t="n">
        <f aca="false">Settings!C4</f>
        <v>0</v>
      </c>
    </row>
    <row r="9" customFormat="false" ht="15" hidden="false" customHeight="false" outlineLevel="0" collapsed="false">
      <c r="A9" s="14" t="s">
        <v>73</v>
      </c>
      <c r="B9" s="15" t="str">
        <f aca="false">Balances!H47</f>
        <v/>
      </c>
      <c r="C9" s="15" t="str">
        <f aca="false">Balances!H48</f>
        <v/>
      </c>
      <c r="D9" s="15" t="str">
        <f aca="false">Balances!H49</f>
        <v/>
      </c>
      <c r="E9" s="15" t="str">
        <f aca="false">IF(OR(D9="",D8=""),"",D9-D8)</f>
        <v/>
      </c>
      <c r="F9" s="15" t="str">
        <f aca="false">IF(OR(D9="",$D$5=""),"",D9-$D$5)</f>
        <v/>
      </c>
      <c r="G9" s="16" t="str">
        <f aca="false">IF(OR(D9="",Settings!$C$4&lt;=0),"",D9/Settings!$C$4)</f>
        <v/>
      </c>
      <c r="H9" s="16" t="str">
        <f aca="false">IF(OR(B9="",N(B9)=0),"",C9/B9)</f>
        <v/>
      </c>
      <c r="J9" s="5" t="s">
        <v>74</v>
      </c>
      <c r="K9" s="17" t="str">
        <f aca="false">IF(OR(K5="",K8&lt;=0),"",MAX(0,K8-K5))</f>
        <v/>
      </c>
    </row>
    <row r="10" customFormat="false" ht="15" hidden="false" customHeight="false" outlineLevel="0" collapsed="false">
      <c r="A10" s="14" t="s">
        <v>75</v>
      </c>
      <c r="B10" s="15" t="str">
        <f aca="false">Balances!I47</f>
        <v/>
      </c>
      <c r="C10" s="15" t="str">
        <f aca="false">Balances!I48</f>
        <v/>
      </c>
      <c r="D10" s="15" t="str">
        <f aca="false">Balances!I49</f>
        <v/>
      </c>
      <c r="E10" s="15" t="str">
        <f aca="false">IF(OR(D10="",D9=""),"",D10-D9)</f>
        <v/>
      </c>
      <c r="F10" s="15" t="str">
        <f aca="false">IF(OR(D10="",$D$5=""),"",D10-$D$5)</f>
        <v/>
      </c>
      <c r="G10" s="16" t="str">
        <f aca="false">IF(OR(D10="",Settings!$C$4&lt;=0),"",D10/Settings!$C$4)</f>
        <v/>
      </c>
      <c r="H10" s="16" t="str">
        <f aca="false">IF(OR(B10="",N(B10)=0),"",C10/B10)</f>
        <v/>
      </c>
      <c r="J10" s="5" t="s">
        <v>76</v>
      </c>
      <c r="K10" s="17" t="str">
        <f aca="false">IF(COUNT(E6:E17)=0,"",MAX(E6:E17))</f>
        <v/>
      </c>
    </row>
    <row r="11" customFormat="false" ht="15" hidden="false" customHeight="false" outlineLevel="0" collapsed="false">
      <c r="A11" s="14" t="s">
        <v>77</v>
      </c>
      <c r="B11" s="15" t="str">
        <f aca="false">Balances!J47</f>
        <v/>
      </c>
      <c r="C11" s="15" t="str">
        <f aca="false">Balances!J48</f>
        <v/>
      </c>
      <c r="D11" s="15" t="str">
        <f aca="false">Balances!J49</f>
        <v/>
      </c>
      <c r="E11" s="15" t="str">
        <f aca="false">IF(OR(D11="",D10=""),"",D11-D10)</f>
        <v/>
      </c>
      <c r="F11" s="15" t="str">
        <f aca="false">IF(OR(D11="",$D$5=""),"",D11-$D$5)</f>
        <v/>
      </c>
      <c r="G11" s="16" t="str">
        <f aca="false">IF(OR(D11="",Settings!$C$4&lt;=0),"",D11/Settings!$C$4)</f>
        <v/>
      </c>
      <c r="H11" s="16" t="str">
        <f aca="false">IF(OR(B11="",N(B11)=0),"",C11/B11)</f>
        <v/>
      </c>
      <c r="J11" s="5" t="s">
        <v>78</v>
      </c>
      <c r="K11" s="17" t="str">
        <f aca="false">IF(COUNT(E6:E17)=0,"",AVERAGE(E6:E17))</f>
        <v/>
      </c>
    </row>
    <row r="12" customFormat="false" ht="15" hidden="false" customHeight="false" outlineLevel="0" collapsed="false">
      <c r="A12" s="14" t="s">
        <v>79</v>
      </c>
      <c r="B12" s="15" t="str">
        <f aca="false">Balances!K47</f>
        <v/>
      </c>
      <c r="C12" s="15" t="str">
        <f aca="false">Balances!K48</f>
        <v/>
      </c>
      <c r="D12" s="15" t="str">
        <f aca="false">Balances!K49</f>
        <v/>
      </c>
      <c r="E12" s="15" t="str">
        <f aca="false">IF(OR(D12="",D11=""),"",D12-D11)</f>
        <v/>
      </c>
      <c r="F12" s="15" t="str">
        <f aca="false">IF(OR(D12="",$D$5=""),"",D12-$D$5)</f>
        <v/>
      </c>
      <c r="G12" s="16" t="str">
        <f aca="false">IF(OR(D12="",Settings!$C$4&lt;=0),"",D12/Settings!$C$4)</f>
        <v/>
      </c>
      <c r="H12" s="16" t="str">
        <f aca="false">IF(OR(B12="",N(B12)=0),"",C12/B12)</f>
        <v/>
      </c>
      <c r="J12" s="5" t="s">
        <v>80</v>
      </c>
      <c r="K12" s="19" t="str">
        <f aca="false">'By Category'!O23</f>
        <v/>
      </c>
    </row>
    <row r="13" customFormat="false" ht="15" hidden="false" customHeight="false" outlineLevel="0" collapsed="false">
      <c r="A13" s="14" t="s">
        <v>81</v>
      </c>
      <c r="B13" s="15" t="str">
        <f aca="false">Balances!L47</f>
        <v/>
      </c>
      <c r="C13" s="15" t="str">
        <f aca="false">Balances!L48</f>
        <v/>
      </c>
      <c r="D13" s="15" t="str">
        <f aca="false">Balances!L49</f>
        <v/>
      </c>
      <c r="E13" s="15" t="str">
        <f aca="false">IF(OR(D13="",D12=""),"",D13-D12)</f>
        <v/>
      </c>
      <c r="F13" s="15" t="str">
        <f aca="false">IF(OR(D13="",$D$5=""),"",D13-$D$5)</f>
        <v/>
      </c>
      <c r="G13" s="16" t="str">
        <f aca="false">IF(OR(D13="",Settings!$C$4&lt;=0),"",D13/Settings!$C$4)</f>
        <v/>
      </c>
      <c r="H13" s="16" t="str">
        <f aca="false">IF(OR(B13="",N(B13)=0),"",C13/B13)</f>
        <v/>
      </c>
    </row>
    <row r="14" customFormat="false" ht="15" hidden="false" customHeight="false" outlineLevel="0" collapsed="false">
      <c r="A14" s="14" t="s">
        <v>82</v>
      </c>
      <c r="B14" s="15" t="str">
        <f aca="false">Balances!M47</f>
        <v/>
      </c>
      <c r="C14" s="15" t="str">
        <f aca="false">Balances!M48</f>
        <v/>
      </c>
      <c r="D14" s="15" t="str">
        <f aca="false">Balances!M49</f>
        <v/>
      </c>
      <c r="E14" s="15" t="str">
        <f aca="false">IF(OR(D14="",D13=""),"",D14-D13)</f>
        <v/>
      </c>
      <c r="F14" s="15" t="str">
        <f aca="false">IF(OR(D14="",$D$5=""),"",D14-$D$5)</f>
        <v/>
      </c>
      <c r="G14" s="16" t="str">
        <f aca="false">IF(OR(D14="",Settings!$C$4&lt;=0),"",D14/Settings!$C$4)</f>
        <v/>
      </c>
      <c r="H14" s="16" t="str">
        <f aca="false">IF(OR(B14="",N(B14)=0),"",C14/B14)</f>
        <v/>
      </c>
    </row>
    <row r="15" customFormat="false" ht="15" hidden="false" customHeight="false" outlineLevel="0" collapsed="false">
      <c r="A15" s="14" t="s">
        <v>83</v>
      </c>
      <c r="B15" s="15" t="str">
        <f aca="false">Balances!N47</f>
        <v/>
      </c>
      <c r="C15" s="15" t="str">
        <f aca="false">Balances!N48</f>
        <v/>
      </c>
      <c r="D15" s="15" t="str">
        <f aca="false">Balances!N49</f>
        <v/>
      </c>
      <c r="E15" s="15" t="str">
        <f aca="false">IF(OR(D15="",D14=""),"",D15-D14)</f>
        <v/>
      </c>
      <c r="F15" s="15" t="str">
        <f aca="false">IF(OR(D15="",$D$5=""),"",D15-$D$5)</f>
        <v/>
      </c>
      <c r="G15" s="16" t="str">
        <f aca="false">IF(OR(D15="",Settings!$C$4&lt;=0),"",D15/Settings!$C$4)</f>
        <v/>
      </c>
      <c r="H15" s="16" t="str">
        <f aca="false">IF(OR(B15="",N(B15)=0),"",C15/B15)</f>
        <v/>
      </c>
    </row>
    <row r="16" customFormat="false" ht="15" hidden="false" customHeight="false" outlineLevel="0" collapsed="false">
      <c r="A16" s="14" t="s">
        <v>84</v>
      </c>
      <c r="B16" s="15" t="str">
        <f aca="false">Balances!O47</f>
        <v/>
      </c>
      <c r="C16" s="15" t="str">
        <f aca="false">Balances!O48</f>
        <v/>
      </c>
      <c r="D16" s="15" t="str">
        <f aca="false">Balances!O49</f>
        <v/>
      </c>
      <c r="E16" s="15" t="str">
        <f aca="false">IF(OR(D16="",D15=""),"",D16-D15)</f>
        <v/>
      </c>
      <c r="F16" s="15" t="str">
        <f aca="false">IF(OR(D16="",$D$5=""),"",D16-$D$5)</f>
        <v/>
      </c>
      <c r="G16" s="16" t="str">
        <f aca="false">IF(OR(D16="",Settings!$C$4&lt;=0),"",D16/Settings!$C$4)</f>
        <v/>
      </c>
      <c r="H16" s="16" t="str">
        <f aca="false">IF(OR(B16="",N(B16)=0),"",C16/B16)</f>
        <v/>
      </c>
    </row>
    <row r="17" customFormat="false" ht="15" hidden="false" customHeight="false" outlineLevel="0" collapsed="false">
      <c r="A17" s="14" t="s">
        <v>85</v>
      </c>
      <c r="B17" s="15" t="str">
        <f aca="false">Balances!P47</f>
        <v/>
      </c>
      <c r="C17" s="15" t="str">
        <f aca="false">Balances!P48</f>
        <v/>
      </c>
      <c r="D17" s="15" t="str">
        <f aca="false">Balances!P49</f>
        <v/>
      </c>
      <c r="E17" s="15" t="str">
        <f aca="false">IF(OR(D17="",D16=""),"",D17-D16)</f>
        <v/>
      </c>
      <c r="F17" s="15" t="str">
        <f aca="false">IF(OR(D17="",$D$5=""),"",D17-$D$5)</f>
        <v/>
      </c>
      <c r="G17" s="16" t="str">
        <f aca="false">IF(OR(D17="",Settings!$C$4&lt;=0),"",D17/Settings!$C$4)</f>
        <v/>
      </c>
      <c r="H17" s="16" t="str">
        <f aca="false">IF(OR(B17="",N(B17)=0),"",C17/B17)</f>
        <v/>
      </c>
    </row>
  </sheetData>
  <conditionalFormatting sqref="E6:F17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6B4F"/>
    <pageSetUpPr fitToPage="false"/>
  </sheetPr>
  <dimension ref="A1:O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4" min="2" style="0" width="11"/>
    <col collapsed="false" customWidth="true" hidden="false" outlineLevel="0" max="15" min="15" style="0" width="15"/>
  </cols>
  <sheetData>
    <row r="1" customFormat="false" ht="22.05" hidden="false" customHeight="false" outlineLevel="0" collapsed="false">
      <c r="A1" s="1" t="s">
        <v>86</v>
      </c>
    </row>
    <row r="3" customFormat="false" ht="23.85" hidden="false" customHeight="false" outlineLevel="0" collapsed="false">
      <c r="A3" s="8" t="s">
        <v>26</v>
      </c>
      <c r="B3" s="8" t="s">
        <v>27</v>
      </c>
      <c r="C3" s="8" t="s">
        <v>28</v>
      </c>
      <c r="D3" s="8" t="s">
        <v>29</v>
      </c>
      <c r="E3" s="8" t="s">
        <v>30</v>
      </c>
      <c r="F3" s="8" t="s">
        <v>31</v>
      </c>
      <c r="G3" s="8" t="s">
        <v>32</v>
      </c>
      <c r="H3" s="8" t="s">
        <v>33</v>
      </c>
      <c r="I3" s="8" t="s">
        <v>34</v>
      </c>
      <c r="J3" s="8" t="s">
        <v>35</v>
      </c>
      <c r="K3" s="8" t="s">
        <v>36</v>
      </c>
      <c r="L3" s="8" t="s">
        <v>37</v>
      </c>
      <c r="M3" s="8" t="s">
        <v>38</v>
      </c>
      <c r="N3" s="8" t="s">
        <v>39</v>
      </c>
      <c r="O3" s="8" t="s">
        <v>62</v>
      </c>
    </row>
    <row r="4" customFormat="false" ht="15" hidden="false" customHeight="false" outlineLevel="0" collapsed="false">
      <c r="A4" s="20" t="s">
        <v>87</v>
      </c>
    </row>
    <row r="5" customFormat="false" ht="15" hidden="false" customHeight="false" outlineLevel="0" collapsed="false">
      <c r="A5" s="21" t="s">
        <v>43</v>
      </c>
      <c r="B5" s="15" t="str">
        <f aca="false">IF(COUNT(Balances!D$6:D$45)=0,"",SUMIF(Balances!$C$6:$C$45,$A5,Balances!D$6:D$45))</f>
        <v/>
      </c>
      <c r="C5" s="15" t="str">
        <f aca="false">IF(COUNT(Balances!E$6:E$45)=0,"",SUMIF(Balances!$C$6:$C$45,$A5,Balances!E$6:E$45))</f>
        <v/>
      </c>
      <c r="D5" s="15" t="str">
        <f aca="false">IF(COUNT(Balances!F$6:F$45)=0,"",SUMIF(Balances!$C$6:$C$45,$A5,Balances!F$6:F$45))</f>
        <v/>
      </c>
      <c r="E5" s="15" t="str">
        <f aca="false">IF(COUNT(Balances!G$6:G$45)=0,"",SUMIF(Balances!$C$6:$C$45,$A5,Balances!G$6:G$45))</f>
        <v/>
      </c>
      <c r="F5" s="15" t="str">
        <f aca="false">IF(COUNT(Balances!H$6:H$45)=0,"",SUMIF(Balances!$C$6:$C$45,$A5,Balances!H$6:H$45))</f>
        <v/>
      </c>
      <c r="G5" s="15" t="str">
        <f aca="false">IF(COUNT(Balances!I$6:I$45)=0,"",SUMIF(Balances!$C$6:$C$45,$A5,Balances!I$6:I$45))</f>
        <v/>
      </c>
      <c r="H5" s="15" t="str">
        <f aca="false">IF(COUNT(Balances!J$6:J$45)=0,"",SUMIF(Balances!$C$6:$C$45,$A5,Balances!J$6:J$45))</f>
        <v/>
      </c>
      <c r="I5" s="15" t="str">
        <f aca="false">IF(COUNT(Balances!K$6:K$45)=0,"",SUMIF(Balances!$C$6:$C$45,$A5,Balances!K$6:K$45))</f>
        <v/>
      </c>
      <c r="J5" s="15" t="str">
        <f aca="false">IF(COUNT(Balances!L$6:L$45)=0,"",SUMIF(Balances!$C$6:$C$45,$A5,Balances!L$6:L$45))</f>
        <v/>
      </c>
      <c r="K5" s="15" t="str">
        <f aca="false">IF(COUNT(Balances!M$6:M$45)=0,"",SUMIF(Balances!$C$6:$C$45,$A5,Balances!M$6:M$45))</f>
        <v/>
      </c>
      <c r="L5" s="15" t="str">
        <f aca="false">IF(COUNT(Balances!N$6:N$45)=0,"",SUMIF(Balances!$C$6:$C$45,$A5,Balances!N$6:N$45))</f>
        <v/>
      </c>
      <c r="M5" s="15" t="str">
        <f aca="false">IF(COUNT(Balances!O$6:O$45)=0,"",SUMIF(Balances!$C$6:$C$45,$A5,Balances!O$6:O$45))</f>
        <v/>
      </c>
      <c r="N5" s="15" t="str">
        <f aca="false">IF(COUNT(Balances!P$6:P$45)=0,"",SUMIF(Balances!$C$6:$C$45,$A5,Balances!P$6:P$45))</f>
        <v/>
      </c>
      <c r="O5" s="15" t="str">
        <f aca="false">IFERROR(LOOKUP(2,1/(B5:N5&lt;&gt;""),B5:N5)-B5,"")</f>
        <v/>
      </c>
    </row>
    <row r="6" customFormat="false" ht="15" hidden="false" customHeight="false" outlineLevel="0" collapsed="false">
      <c r="A6" s="21" t="s">
        <v>45</v>
      </c>
      <c r="B6" s="15" t="str">
        <f aca="false">IF(COUNT(Balances!D$6:D$45)=0,"",SUMIF(Balances!$C$6:$C$45,$A6,Balances!D$6:D$45))</f>
        <v/>
      </c>
      <c r="C6" s="15" t="str">
        <f aca="false">IF(COUNT(Balances!E$6:E$45)=0,"",SUMIF(Balances!$C$6:$C$45,$A6,Balances!E$6:E$45))</f>
        <v/>
      </c>
      <c r="D6" s="15" t="str">
        <f aca="false">IF(COUNT(Balances!F$6:F$45)=0,"",SUMIF(Balances!$C$6:$C$45,$A6,Balances!F$6:F$45))</f>
        <v/>
      </c>
      <c r="E6" s="15" t="str">
        <f aca="false">IF(COUNT(Balances!G$6:G$45)=0,"",SUMIF(Balances!$C$6:$C$45,$A6,Balances!G$6:G$45))</f>
        <v/>
      </c>
      <c r="F6" s="15" t="str">
        <f aca="false">IF(COUNT(Balances!H$6:H$45)=0,"",SUMIF(Balances!$C$6:$C$45,$A6,Balances!H$6:H$45))</f>
        <v/>
      </c>
      <c r="G6" s="15" t="str">
        <f aca="false">IF(COUNT(Balances!I$6:I$45)=0,"",SUMIF(Balances!$C$6:$C$45,$A6,Balances!I$6:I$45))</f>
        <v/>
      </c>
      <c r="H6" s="15" t="str">
        <f aca="false">IF(COUNT(Balances!J$6:J$45)=0,"",SUMIF(Balances!$C$6:$C$45,$A6,Balances!J$6:J$45))</f>
        <v/>
      </c>
      <c r="I6" s="15" t="str">
        <f aca="false">IF(COUNT(Balances!K$6:K$45)=0,"",SUMIF(Balances!$C$6:$C$45,$A6,Balances!K$6:K$45))</f>
        <v/>
      </c>
      <c r="J6" s="15" t="str">
        <f aca="false">IF(COUNT(Balances!L$6:L$45)=0,"",SUMIF(Balances!$C$6:$C$45,$A6,Balances!L$6:L$45))</f>
        <v/>
      </c>
      <c r="K6" s="15" t="str">
        <f aca="false">IF(COUNT(Balances!M$6:M$45)=0,"",SUMIF(Balances!$C$6:$C$45,$A6,Balances!M$6:M$45))</f>
        <v/>
      </c>
      <c r="L6" s="15" t="str">
        <f aca="false">IF(COUNT(Balances!N$6:N$45)=0,"",SUMIF(Balances!$C$6:$C$45,$A6,Balances!N$6:N$45))</f>
        <v/>
      </c>
      <c r="M6" s="15" t="str">
        <f aca="false">IF(COUNT(Balances!O$6:O$45)=0,"",SUMIF(Balances!$C$6:$C$45,$A6,Balances!O$6:O$45))</f>
        <v/>
      </c>
      <c r="N6" s="15" t="str">
        <f aca="false">IF(COUNT(Balances!P$6:P$45)=0,"",SUMIF(Balances!$C$6:$C$45,$A6,Balances!P$6:P$45))</f>
        <v/>
      </c>
      <c r="O6" s="15" t="str">
        <f aca="false">IFERROR(LOOKUP(2,1/(B6:N6&lt;&gt;""),B6:N6)-B6,"")</f>
        <v/>
      </c>
    </row>
    <row r="7" customFormat="false" ht="15" hidden="false" customHeight="false" outlineLevel="0" collapsed="false">
      <c r="A7" s="21" t="s">
        <v>47</v>
      </c>
      <c r="B7" s="15" t="str">
        <f aca="false">IF(COUNT(Balances!D$6:D$45)=0,"",SUMIF(Balances!$C$6:$C$45,$A7,Balances!D$6:D$45))</f>
        <v/>
      </c>
      <c r="C7" s="15" t="str">
        <f aca="false">IF(COUNT(Balances!E$6:E$45)=0,"",SUMIF(Balances!$C$6:$C$45,$A7,Balances!E$6:E$45))</f>
        <v/>
      </c>
      <c r="D7" s="15" t="str">
        <f aca="false">IF(COUNT(Balances!F$6:F$45)=0,"",SUMIF(Balances!$C$6:$C$45,$A7,Balances!F$6:F$45))</f>
        <v/>
      </c>
      <c r="E7" s="15" t="str">
        <f aca="false">IF(COUNT(Balances!G$6:G$45)=0,"",SUMIF(Balances!$C$6:$C$45,$A7,Balances!G$6:G$45))</f>
        <v/>
      </c>
      <c r="F7" s="15" t="str">
        <f aca="false">IF(COUNT(Balances!H$6:H$45)=0,"",SUMIF(Balances!$C$6:$C$45,$A7,Balances!H$6:H$45))</f>
        <v/>
      </c>
      <c r="G7" s="15" t="str">
        <f aca="false">IF(COUNT(Balances!I$6:I$45)=0,"",SUMIF(Balances!$C$6:$C$45,$A7,Balances!I$6:I$45))</f>
        <v/>
      </c>
      <c r="H7" s="15" t="str">
        <f aca="false">IF(COUNT(Balances!J$6:J$45)=0,"",SUMIF(Balances!$C$6:$C$45,$A7,Balances!J$6:J$45))</f>
        <v/>
      </c>
      <c r="I7" s="15" t="str">
        <f aca="false">IF(COUNT(Balances!K$6:K$45)=0,"",SUMIF(Balances!$C$6:$C$45,$A7,Balances!K$6:K$45))</f>
        <v/>
      </c>
      <c r="J7" s="15" t="str">
        <f aca="false">IF(COUNT(Balances!L$6:L$45)=0,"",SUMIF(Balances!$C$6:$C$45,$A7,Balances!L$6:L$45))</f>
        <v/>
      </c>
      <c r="K7" s="15" t="str">
        <f aca="false">IF(COUNT(Balances!M$6:M$45)=0,"",SUMIF(Balances!$C$6:$C$45,$A7,Balances!M$6:M$45))</f>
        <v/>
      </c>
      <c r="L7" s="15" t="str">
        <f aca="false">IF(COUNT(Balances!N$6:N$45)=0,"",SUMIF(Balances!$C$6:$C$45,$A7,Balances!N$6:N$45))</f>
        <v/>
      </c>
      <c r="M7" s="15" t="str">
        <f aca="false">IF(COUNT(Balances!O$6:O$45)=0,"",SUMIF(Balances!$C$6:$C$45,$A7,Balances!O$6:O$45))</f>
        <v/>
      </c>
      <c r="N7" s="15" t="str">
        <f aca="false">IF(COUNT(Balances!P$6:P$45)=0,"",SUMIF(Balances!$C$6:$C$45,$A7,Balances!P$6:P$45))</f>
        <v/>
      </c>
      <c r="O7" s="15" t="str">
        <f aca="false">IFERROR(LOOKUP(2,1/(B7:N7&lt;&gt;""),B7:N7)-B7,"")</f>
        <v/>
      </c>
    </row>
    <row r="8" customFormat="false" ht="15" hidden="false" customHeight="false" outlineLevel="0" collapsed="false">
      <c r="A8" s="21" t="s">
        <v>49</v>
      </c>
      <c r="B8" s="15" t="str">
        <f aca="false">IF(COUNT(Balances!D$6:D$45)=0,"",SUMIF(Balances!$C$6:$C$45,$A8,Balances!D$6:D$45))</f>
        <v/>
      </c>
      <c r="C8" s="15" t="str">
        <f aca="false">IF(COUNT(Balances!E$6:E$45)=0,"",SUMIF(Balances!$C$6:$C$45,$A8,Balances!E$6:E$45))</f>
        <v/>
      </c>
      <c r="D8" s="15" t="str">
        <f aca="false">IF(COUNT(Balances!F$6:F$45)=0,"",SUMIF(Balances!$C$6:$C$45,$A8,Balances!F$6:F$45))</f>
        <v/>
      </c>
      <c r="E8" s="15" t="str">
        <f aca="false">IF(COUNT(Balances!G$6:G$45)=0,"",SUMIF(Balances!$C$6:$C$45,$A8,Balances!G$6:G$45))</f>
        <v/>
      </c>
      <c r="F8" s="15" t="str">
        <f aca="false">IF(COUNT(Balances!H$6:H$45)=0,"",SUMIF(Balances!$C$6:$C$45,$A8,Balances!H$6:H$45))</f>
        <v/>
      </c>
      <c r="G8" s="15" t="str">
        <f aca="false">IF(COUNT(Balances!I$6:I$45)=0,"",SUMIF(Balances!$C$6:$C$45,$A8,Balances!I$6:I$45))</f>
        <v/>
      </c>
      <c r="H8" s="15" t="str">
        <f aca="false">IF(COUNT(Balances!J$6:J$45)=0,"",SUMIF(Balances!$C$6:$C$45,$A8,Balances!J$6:J$45))</f>
        <v/>
      </c>
      <c r="I8" s="15" t="str">
        <f aca="false">IF(COUNT(Balances!K$6:K$45)=0,"",SUMIF(Balances!$C$6:$C$45,$A8,Balances!K$6:K$45))</f>
        <v/>
      </c>
      <c r="J8" s="15" t="str">
        <f aca="false">IF(COUNT(Balances!L$6:L$45)=0,"",SUMIF(Balances!$C$6:$C$45,$A8,Balances!L$6:L$45))</f>
        <v/>
      </c>
      <c r="K8" s="15" t="str">
        <f aca="false">IF(COUNT(Balances!M$6:M$45)=0,"",SUMIF(Balances!$C$6:$C$45,$A8,Balances!M$6:M$45))</f>
        <v/>
      </c>
      <c r="L8" s="15" t="str">
        <f aca="false">IF(COUNT(Balances!N$6:N$45)=0,"",SUMIF(Balances!$C$6:$C$45,$A8,Balances!N$6:N$45))</f>
        <v/>
      </c>
      <c r="M8" s="15" t="str">
        <f aca="false">IF(COUNT(Balances!O$6:O$45)=0,"",SUMIF(Balances!$C$6:$C$45,$A8,Balances!O$6:O$45))</f>
        <v/>
      </c>
      <c r="N8" s="15" t="str">
        <f aca="false">IF(COUNT(Balances!P$6:P$45)=0,"",SUMIF(Balances!$C$6:$C$45,$A8,Balances!P$6:P$45))</f>
        <v/>
      </c>
      <c r="O8" s="15" t="str">
        <f aca="false">IFERROR(LOOKUP(2,1/(B8:N8&lt;&gt;""),B8:N8)-B8,"")</f>
        <v/>
      </c>
    </row>
    <row r="9" customFormat="false" ht="15" hidden="false" customHeight="false" outlineLevel="0" collapsed="false">
      <c r="A9" s="21" t="s">
        <v>88</v>
      </c>
      <c r="B9" s="15" t="str">
        <f aca="false">IF(COUNT(Balances!D$6:D$45)=0,"",SUMIF(Balances!$C$6:$C$45,$A9,Balances!D$6:D$45))</f>
        <v/>
      </c>
      <c r="C9" s="15" t="str">
        <f aca="false">IF(COUNT(Balances!E$6:E$45)=0,"",SUMIF(Balances!$C$6:$C$45,$A9,Balances!E$6:E$45))</f>
        <v/>
      </c>
      <c r="D9" s="15" t="str">
        <f aca="false">IF(COUNT(Balances!F$6:F$45)=0,"",SUMIF(Balances!$C$6:$C$45,$A9,Balances!F$6:F$45))</f>
        <v/>
      </c>
      <c r="E9" s="15" t="str">
        <f aca="false">IF(COUNT(Balances!G$6:G$45)=0,"",SUMIF(Balances!$C$6:$C$45,$A9,Balances!G$6:G$45))</f>
        <v/>
      </c>
      <c r="F9" s="15" t="str">
        <f aca="false">IF(COUNT(Balances!H$6:H$45)=0,"",SUMIF(Balances!$C$6:$C$45,$A9,Balances!H$6:H$45))</f>
        <v/>
      </c>
      <c r="G9" s="15" t="str">
        <f aca="false">IF(COUNT(Balances!I$6:I$45)=0,"",SUMIF(Balances!$C$6:$C$45,$A9,Balances!I$6:I$45))</f>
        <v/>
      </c>
      <c r="H9" s="15" t="str">
        <f aca="false">IF(COUNT(Balances!J$6:J$45)=0,"",SUMIF(Balances!$C$6:$C$45,$A9,Balances!J$6:J$45))</f>
        <v/>
      </c>
      <c r="I9" s="15" t="str">
        <f aca="false">IF(COUNT(Balances!K$6:K$45)=0,"",SUMIF(Balances!$C$6:$C$45,$A9,Balances!K$6:K$45))</f>
        <v/>
      </c>
      <c r="J9" s="15" t="str">
        <f aca="false">IF(COUNT(Balances!L$6:L$45)=0,"",SUMIF(Balances!$C$6:$C$45,$A9,Balances!L$6:L$45))</f>
        <v/>
      </c>
      <c r="K9" s="15" t="str">
        <f aca="false">IF(COUNT(Balances!M$6:M$45)=0,"",SUMIF(Balances!$C$6:$C$45,$A9,Balances!M$6:M$45))</f>
        <v/>
      </c>
      <c r="L9" s="15" t="str">
        <f aca="false">IF(COUNT(Balances!N$6:N$45)=0,"",SUMIF(Balances!$C$6:$C$45,$A9,Balances!N$6:N$45))</f>
        <v/>
      </c>
      <c r="M9" s="15" t="str">
        <f aca="false">IF(COUNT(Balances!O$6:O$45)=0,"",SUMIF(Balances!$C$6:$C$45,$A9,Balances!O$6:O$45))</f>
        <v/>
      </c>
      <c r="N9" s="15" t="str">
        <f aca="false">IF(COUNT(Balances!P$6:P$45)=0,"",SUMIF(Balances!$C$6:$C$45,$A9,Balances!P$6:P$45))</f>
        <v/>
      </c>
      <c r="O9" s="15" t="str">
        <f aca="false">IFERROR(LOOKUP(2,1/(B9:N9&lt;&gt;""),B9:N9)-B9,"")</f>
        <v/>
      </c>
    </row>
    <row r="10" customFormat="false" ht="15" hidden="false" customHeight="false" outlineLevel="0" collapsed="false">
      <c r="A10" s="21" t="s">
        <v>89</v>
      </c>
      <c r="B10" s="15" t="str">
        <f aca="false">IF(COUNT(Balances!D$6:D$45)=0,"",SUMIF(Balances!$C$6:$C$45,$A10,Balances!D$6:D$45))</f>
        <v/>
      </c>
      <c r="C10" s="15" t="str">
        <f aca="false">IF(COUNT(Balances!E$6:E$45)=0,"",SUMIF(Balances!$C$6:$C$45,$A10,Balances!E$6:E$45))</f>
        <v/>
      </c>
      <c r="D10" s="15" t="str">
        <f aca="false">IF(COUNT(Balances!F$6:F$45)=0,"",SUMIF(Balances!$C$6:$C$45,$A10,Balances!F$6:F$45))</f>
        <v/>
      </c>
      <c r="E10" s="15" t="str">
        <f aca="false">IF(COUNT(Balances!G$6:G$45)=0,"",SUMIF(Balances!$C$6:$C$45,$A10,Balances!G$6:G$45))</f>
        <v/>
      </c>
      <c r="F10" s="15" t="str">
        <f aca="false">IF(COUNT(Balances!H$6:H$45)=0,"",SUMIF(Balances!$C$6:$C$45,$A10,Balances!H$6:H$45))</f>
        <v/>
      </c>
      <c r="G10" s="15" t="str">
        <f aca="false">IF(COUNT(Balances!I$6:I$45)=0,"",SUMIF(Balances!$C$6:$C$45,$A10,Balances!I$6:I$45))</f>
        <v/>
      </c>
      <c r="H10" s="15" t="str">
        <f aca="false">IF(COUNT(Balances!J$6:J$45)=0,"",SUMIF(Balances!$C$6:$C$45,$A10,Balances!J$6:J$45))</f>
        <v/>
      </c>
      <c r="I10" s="15" t="str">
        <f aca="false">IF(COUNT(Balances!K$6:K$45)=0,"",SUMIF(Balances!$C$6:$C$45,$A10,Balances!K$6:K$45))</f>
        <v/>
      </c>
      <c r="J10" s="15" t="str">
        <f aca="false">IF(COUNT(Balances!L$6:L$45)=0,"",SUMIF(Balances!$C$6:$C$45,$A10,Balances!L$6:L$45))</f>
        <v/>
      </c>
      <c r="K10" s="15" t="str">
        <f aca="false">IF(COUNT(Balances!M$6:M$45)=0,"",SUMIF(Balances!$C$6:$C$45,$A10,Balances!M$6:M$45))</f>
        <v/>
      </c>
      <c r="L10" s="15" t="str">
        <f aca="false">IF(COUNT(Balances!N$6:N$45)=0,"",SUMIF(Balances!$C$6:$C$45,$A10,Balances!N$6:N$45))</f>
        <v/>
      </c>
      <c r="M10" s="15" t="str">
        <f aca="false">IF(COUNT(Balances!O$6:O$45)=0,"",SUMIF(Balances!$C$6:$C$45,$A10,Balances!O$6:O$45))</f>
        <v/>
      </c>
      <c r="N10" s="15" t="str">
        <f aca="false">IF(COUNT(Balances!P$6:P$45)=0,"",SUMIF(Balances!$C$6:$C$45,$A10,Balances!P$6:P$45))</f>
        <v/>
      </c>
      <c r="O10" s="15" t="str">
        <f aca="false">IFERROR(LOOKUP(2,1/(B10:N10&lt;&gt;""),B10:N10)-B10,"")</f>
        <v/>
      </c>
    </row>
    <row r="11" customFormat="false" ht="15" hidden="false" customHeight="false" outlineLevel="0" collapsed="false">
      <c r="A11" s="21" t="s">
        <v>90</v>
      </c>
      <c r="B11" s="15" t="str">
        <f aca="false">IF(COUNT(Balances!D$6:D$45)=0,"",SUMIF(Balances!$C$6:$C$45,$A11,Balances!D$6:D$45))</f>
        <v/>
      </c>
      <c r="C11" s="15" t="str">
        <f aca="false">IF(COUNT(Balances!E$6:E$45)=0,"",SUMIF(Balances!$C$6:$C$45,$A11,Balances!E$6:E$45))</f>
        <v/>
      </c>
      <c r="D11" s="15" t="str">
        <f aca="false">IF(COUNT(Balances!F$6:F$45)=0,"",SUMIF(Balances!$C$6:$C$45,$A11,Balances!F$6:F$45))</f>
        <v/>
      </c>
      <c r="E11" s="15" t="str">
        <f aca="false">IF(COUNT(Balances!G$6:G$45)=0,"",SUMIF(Balances!$C$6:$C$45,$A11,Balances!G$6:G$45))</f>
        <v/>
      </c>
      <c r="F11" s="15" t="str">
        <f aca="false">IF(COUNT(Balances!H$6:H$45)=0,"",SUMIF(Balances!$C$6:$C$45,$A11,Balances!H$6:H$45))</f>
        <v/>
      </c>
      <c r="G11" s="15" t="str">
        <f aca="false">IF(COUNT(Balances!I$6:I$45)=0,"",SUMIF(Balances!$C$6:$C$45,$A11,Balances!I$6:I$45))</f>
        <v/>
      </c>
      <c r="H11" s="15" t="str">
        <f aca="false">IF(COUNT(Balances!J$6:J$45)=0,"",SUMIF(Balances!$C$6:$C$45,$A11,Balances!J$6:J$45))</f>
        <v/>
      </c>
      <c r="I11" s="15" t="str">
        <f aca="false">IF(COUNT(Balances!K$6:K$45)=0,"",SUMIF(Balances!$C$6:$C$45,$A11,Balances!K$6:K$45))</f>
        <v/>
      </c>
      <c r="J11" s="15" t="str">
        <f aca="false">IF(COUNT(Balances!L$6:L$45)=0,"",SUMIF(Balances!$C$6:$C$45,$A11,Balances!L$6:L$45))</f>
        <v/>
      </c>
      <c r="K11" s="15" t="str">
        <f aca="false">IF(COUNT(Balances!M$6:M$45)=0,"",SUMIF(Balances!$C$6:$C$45,$A11,Balances!M$6:M$45))</f>
        <v/>
      </c>
      <c r="L11" s="15" t="str">
        <f aca="false">IF(COUNT(Balances!N$6:N$45)=0,"",SUMIF(Balances!$C$6:$C$45,$A11,Balances!N$6:N$45))</f>
        <v/>
      </c>
      <c r="M11" s="15" t="str">
        <f aca="false">IF(COUNT(Balances!O$6:O$45)=0,"",SUMIF(Balances!$C$6:$C$45,$A11,Balances!O$6:O$45))</f>
        <v/>
      </c>
      <c r="N11" s="15" t="str">
        <f aca="false">IF(COUNT(Balances!P$6:P$45)=0,"",SUMIF(Balances!$C$6:$C$45,$A11,Balances!P$6:P$45))</f>
        <v/>
      </c>
      <c r="O11" s="15" t="str">
        <f aca="false">IFERROR(LOOKUP(2,1/(B11:N11&lt;&gt;""),B11:N11)-B11,"")</f>
        <v/>
      </c>
    </row>
    <row r="12" customFormat="false" ht="15" hidden="false" customHeight="false" outlineLevel="0" collapsed="false">
      <c r="A12" s="5" t="s">
        <v>55</v>
      </c>
      <c r="B12" s="12" t="str">
        <f aca="false">IF(COUNT(B5:B11)=0,"",SUM(B5:B11))</f>
        <v/>
      </c>
      <c r="C12" s="12" t="str">
        <f aca="false">IF(COUNT(C5:C11)=0,"",SUM(C5:C11))</f>
        <v/>
      </c>
      <c r="D12" s="12" t="str">
        <f aca="false">IF(COUNT(D5:D11)=0,"",SUM(D5:D11))</f>
        <v/>
      </c>
      <c r="E12" s="12" t="str">
        <f aca="false">IF(COUNT(E5:E11)=0,"",SUM(E5:E11))</f>
        <v/>
      </c>
      <c r="F12" s="12" t="str">
        <f aca="false">IF(COUNT(F5:F11)=0,"",SUM(F5:F11))</f>
        <v/>
      </c>
      <c r="G12" s="12" t="str">
        <f aca="false">IF(COUNT(G5:G11)=0,"",SUM(G5:G11))</f>
        <v/>
      </c>
      <c r="H12" s="12" t="str">
        <f aca="false">IF(COUNT(H5:H11)=0,"",SUM(H5:H11))</f>
        <v/>
      </c>
      <c r="I12" s="12" t="str">
        <f aca="false">IF(COUNT(I5:I11)=0,"",SUM(I5:I11))</f>
        <v/>
      </c>
      <c r="J12" s="12" t="str">
        <f aca="false">IF(COUNT(J5:J11)=0,"",SUM(J5:J11))</f>
        <v/>
      </c>
      <c r="K12" s="12" t="str">
        <f aca="false">IF(COUNT(K5:K11)=0,"",SUM(K5:K11))</f>
        <v/>
      </c>
      <c r="L12" s="12" t="str">
        <f aca="false">IF(COUNT(L5:L11)=0,"",SUM(L5:L11))</f>
        <v/>
      </c>
      <c r="M12" s="12" t="str">
        <f aca="false">IF(COUNT(M5:M11)=0,"",SUM(M5:M11))</f>
        <v/>
      </c>
      <c r="N12" s="12" t="str">
        <f aca="false">IF(COUNT(N5:N11)=0,"",SUM(N5:N11))</f>
        <v/>
      </c>
      <c r="O12" s="12" t="str">
        <f aca="false">IF(COUNT(O5:O11)=0,"",SUM(O5:O11))</f>
        <v/>
      </c>
    </row>
    <row r="14" customFormat="false" ht="15" hidden="false" customHeight="false" outlineLevel="0" collapsed="false">
      <c r="A14" s="20" t="s">
        <v>91</v>
      </c>
    </row>
    <row r="15" customFormat="false" ht="15" hidden="false" customHeight="false" outlineLevel="0" collapsed="false">
      <c r="A15" s="21" t="s">
        <v>52</v>
      </c>
      <c r="B15" s="15" t="str">
        <f aca="false">IF(COUNT(Balances!D$6:D$45)=0,"",SUMIF(Balances!$C$6:$C$45,$A15,Balances!D$6:D$45))</f>
        <v/>
      </c>
      <c r="C15" s="15" t="str">
        <f aca="false">IF(COUNT(Balances!E$6:E$45)=0,"",SUMIF(Balances!$C$6:$C$45,$A15,Balances!E$6:E$45))</f>
        <v/>
      </c>
      <c r="D15" s="15" t="str">
        <f aca="false">IF(COUNT(Balances!F$6:F$45)=0,"",SUMIF(Balances!$C$6:$C$45,$A15,Balances!F$6:F$45))</f>
        <v/>
      </c>
      <c r="E15" s="15" t="str">
        <f aca="false">IF(COUNT(Balances!G$6:G$45)=0,"",SUMIF(Balances!$C$6:$C$45,$A15,Balances!G$6:G$45))</f>
        <v/>
      </c>
      <c r="F15" s="15" t="str">
        <f aca="false">IF(COUNT(Balances!H$6:H$45)=0,"",SUMIF(Balances!$C$6:$C$45,$A15,Balances!H$6:H$45))</f>
        <v/>
      </c>
      <c r="G15" s="15" t="str">
        <f aca="false">IF(COUNT(Balances!I$6:I$45)=0,"",SUMIF(Balances!$C$6:$C$45,$A15,Balances!I$6:I$45))</f>
        <v/>
      </c>
      <c r="H15" s="15" t="str">
        <f aca="false">IF(COUNT(Balances!J$6:J$45)=0,"",SUMIF(Balances!$C$6:$C$45,$A15,Balances!J$6:J$45))</f>
        <v/>
      </c>
      <c r="I15" s="15" t="str">
        <f aca="false">IF(COUNT(Balances!K$6:K$45)=0,"",SUMIF(Balances!$C$6:$C$45,$A15,Balances!K$6:K$45))</f>
        <v/>
      </c>
      <c r="J15" s="15" t="str">
        <f aca="false">IF(COUNT(Balances!L$6:L$45)=0,"",SUMIF(Balances!$C$6:$C$45,$A15,Balances!L$6:L$45))</f>
        <v/>
      </c>
      <c r="K15" s="15" t="str">
        <f aca="false">IF(COUNT(Balances!M$6:M$45)=0,"",SUMIF(Balances!$C$6:$C$45,$A15,Balances!M$6:M$45))</f>
        <v/>
      </c>
      <c r="L15" s="15" t="str">
        <f aca="false">IF(COUNT(Balances!N$6:N$45)=0,"",SUMIF(Balances!$C$6:$C$45,$A15,Balances!N$6:N$45))</f>
        <v/>
      </c>
      <c r="M15" s="15" t="str">
        <f aca="false">IF(COUNT(Balances!O$6:O$45)=0,"",SUMIF(Balances!$C$6:$C$45,$A15,Balances!O$6:O$45))</f>
        <v/>
      </c>
      <c r="N15" s="15" t="str">
        <f aca="false">IF(COUNT(Balances!P$6:P$45)=0,"",SUMIF(Balances!$C$6:$C$45,$A15,Balances!P$6:P$45))</f>
        <v/>
      </c>
      <c r="O15" s="15" t="str">
        <f aca="false">IFERROR(LOOKUP(2,1/(B15:N15&lt;&gt;""),B15:N15)-B15,"")</f>
        <v/>
      </c>
    </row>
    <row r="16" customFormat="false" ht="15" hidden="false" customHeight="false" outlineLevel="0" collapsed="false">
      <c r="A16" s="21" t="s">
        <v>92</v>
      </c>
      <c r="B16" s="15" t="str">
        <f aca="false">IF(COUNT(Balances!D$6:D$45)=0,"",SUMIF(Balances!$C$6:$C$45,$A16,Balances!D$6:D$45))</f>
        <v/>
      </c>
      <c r="C16" s="15" t="str">
        <f aca="false">IF(COUNT(Balances!E$6:E$45)=0,"",SUMIF(Balances!$C$6:$C$45,$A16,Balances!E$6:E$45))</f>
        <v/>
      </c>
      <c r="D16" s="15" t="str">
        <f aca="false">IF(COUNT(Balances!F$6:F$45)=0,"",SUMIF(Balances!$C$6:$C$45,$A16,Balances!F$6:F$45))</f>
        <v/>
      </c>
      <c r="E16" s="15" t="str">
        <f aca="false">IF(COUNT(Balances!G$6:G$45)=0,"",SUMIF(Balances!$C$6:$C$45,$A16,Balances!G$6:G$45))</f>
        <v/>
      </c>
      <c r="F16" s="15" t="str">
        <f aca="false">IF(COUNT(Balances!H$6:H$45)=0,"",SUMIF(Balances!$C$6:$C$45,$A16,Balances!H$6:H$45))</f>
        <v/>
      </c>
      <c r="G16" s="15" t="str">
        <f aca="false">IF(COUNT(Balances!I$6:I$45)=0,"",SUMIF(Balances!$C$6:$C$45,$A16,Balances!I$6:I$45))</f>
        <v/>
      </c>
      <c r="H16" s="15" t="str">
        <f aca="false">IF(COUNT(Balances!J$6:J$45)=0,"",SUMIF(Balances!$C$6:$C$45,$A16,Balances!J$6:J$45))</f>
        <v/>
      </c>
      <c r="I16" s="15" t="str">
        <f aca="false">IF(COUNT(Balances!K$6:K$45)=0,"",SUMIF(Balances!$C$6:$C$45,$A16,Balances!K$6:K$45))</f>
        <v/>
      </c>
      <c r="J16" s="15" t="str">
        <f aca="false">IF(COUNT(Balances!L$6:L$45)=0,"",SUMIF(Balances!$C$6:$C$45,$A16,Balances!L$6:L$45))</f>
        <v/>
      </c>
      <c r="K16" s="15" t="str">
        <f aca="false">IF(COUNT(Balances!M$6:M$45)=0,"",SUMIF(Balances!$C$6:$C$45,$A16,Balances!M$6:M$45))</f>
        <v/>
      </c>
      <c r="L16" s="15" t="str">
        <f aca="false">IF(COUNT(Balances!N$6:N$45)=0,"",SUMIF(Balances!$C$6:$C$45,$A16,Balances!N$6:N$45))</f>
        <v/>
      </c>
      <c r="M16" s="15" t="str">
        <f aca="false">IF(COUNT(Balances!O$6:O$45)=0,"",SUMIF(Balances!$C$6:$C$45,$A16,Balances!O$6:O$45))</f>
        <v/>
      </c>
      <c r="N16" s="15" t="str">
        <f aca="false">IF(COUNT(Balances!P$6:P$45)=0,"",SUMIF(Balances!$C$6:$C$45,$A16,Balances!P$6:P$45))</f>
        <v/>
      </c>
      <c r="O16" s="15" t="str">
        <f aca="false">IFERROR(LOOKUP(2,1/(B16:N16&lt;&gt;""),B16:N16)-B16,"")</f>
        <v/>
      </c>
    </row>
    <row r="17" customFormat="false" ht="15" hidden="false" customHeight="false" outlineLevel="0" collapsed="false">
      <c r="A17" s="21" t="s">
        <v>93</v>
      </c>
      <c r="B17" s="15" t="str">
        <f aca="false">IF(COUNT(Balances!D$6:D$45)=0,"",SUMIF(Balances!$C$6:$C$45,$A17,Balances!D$6:D$45))</f>
        <v/>
      </c>
      <c r="C17" s="15" t="str">
        <f aca="false">IF(COUNT(Balances!E$6:E$45)=0,"",SUMIF(Balances!$C$6:$C$45,$A17,Balances!E$6:E$45))</f>
        <v/>
      </c>
      <c r="D17" s="15" t="str">
        <f aca="false">IF(COUNT(Balances!F$6:F$45)=0,"",SUMIF(Balances!$C$6:$C$45,$A17,Balances!F$6:F$45))</f>
        <v/>
      </c>
      <c r="E17" s="15" t="str">
        <f aca="false">IF(COUNT(Balances!G$6:G$45)=0,"",SUMIF(Balances!$C$6:$C$45,$A17,Balances!G$6:G$45))</f>
        <v/>
      </c>
      <c r="F17" s="15" t="str">
        <f aca="false">IF(COUNT(Balances!H$6:H$45)=0,"",SUMIF(Balances!$C$6:$C$45,$A17,Balances!H$6:H$45))</f>
        <v/>
      </c>
      <c r="G17" s="15" t="str">
        <f aca="false">IF(COUNT(Balances!I$6:I$45)=0,"",SUMIF(Balances!$C$6:$C$45,$A17,Balances!I$6:I$45))</f>
        <v/>
      </c>
      <c r="H17" s="15" t="str">
        <f aca="false">IF(COUNT(Balances!J$6:J$45)=0,"",SUMIF(Balances!$C$6:$C$45,$A17,Balances!J$6:J$45))</f>
        <v/>
      </c>
      <c r="I17" s="15" t="str">
        <f aca="false">IF(COUNT(Balances!K$6:K$45)=0,"",SUMIF(Balances!$C$6:$C$45,$A17,Balances!K$6:K$45))</f>
        <v/>
      </c>
      <c r="J17" s="15" t="str">
        <f aca="false">IF(COUNT(Balances!L$6:L$45)=0,"",SUMIF(Balances!$C$6:$C$45,$A17,Balances!L$6:L$45))</f>
        <v/>
      </c>
      <c r="K17" s="15" t="str">
        <f aca="false">IF(COUNT(Balances!M$6:M$45)=0,"",SUMIF(Balances!$C$6:$C$45,$A17,Balances!M$6:M$45))</f>
        <v/>
      </c>
      <c r="L17" s="15" t="str">
        <f aca="false">IF(COUNT(Balances!N$6:N$45)=0,"",SUMIF(Balances!$C$6:$C$45,$A17,Balances!N$6:N$45))</f>
        <v/>
      </c>
      <c r="M17" s="15" t="str">
        <f aca="false">IF(COUNT(Balances!O$6:O$45)=0,"",SUMIF(Balances!$C$6:$C$45,$A17,Balances!O$6:O$45))</f>
        <v/>
      </c>
      <c r="N17" s="15" t="str">
        <f aca="false">IF(COUNT(Balances!P$6:P$45)=0,"",SUMIF(Balances!$C$6:$C$45,$A17,Balances!P$6:P$45))</f>
        <v/>
      </c>
      <c r="O17" s="15" t="str">
        <f aca="false">IFERROR(LOOKUP(2,1/(B17:N17&lt;&gt;""),B17:N17)-B17,"")</f>
        <v/>
      </c>
    </row>
    <row r="18" customFormat="false" ht="15" hidden="false" customHeight="false" outlineLevel="0" collapsed="false">
      <c r="A18" s="21" t="s">
        <v>94</v>
      </c>
      <c r="B18" s="15" t="str">
        <f aca="false">IF(COUNT(Balances!D$6:D$45)=0,"",SUMIF(Balances!$C$6:$C$45,$A18,Balances!D$6:D$45))</f>
        <v/>
      </c>
      <c r="C18" s="15" t="str">
        <f aca="false">IF(COUNT(Balances!E$6:E$45)=0,"",SUMIF(Balances!$C$6:$C$45,$A18,Balances!E$6:E$45))</f>
        <v/>
      </c>
      <c r="D18" s="15" t="str">
        <f aca="false">IF(COUNT(Balances!F$6:F$45)=0,"",SUMIF(Balances!$C$6:$C$45,$A18,Balances!F$6:F$45))</f>
        <v/>
      </c>
      <c r="E18" s="15" t="str">
        <f aca="false">IF(COUNT(Balances!G$6:G$45)=0,"",SUMIF(Balances!$C$6:$C$45,$A18,Balances!G$6:G$45))</f>
        <v/>
      </c>
      <c r="F18" s="15" t="str">
        <f aca="false">IF(COUNT(Balances!H$6:H$45)=0,"",SUMIF(Balances!$C$6:$C$45,$A18,Balances!H$6:H$45))</f>
        <v/>
      </c>
      <c r="G18" s="15" t="str">
        <f aca="false">IF(COUNT(Balances!I$6:I$45)=0,"",SUMIF(Balances!$C$6:$C$45,$A18,Balances!I$6:I$45))</f>
        <v/>
      </c>
      <c r="H18" s="15" t="str">
        <f aca="false">IF(COUNT(Balances!J$6:J$45)=0,"",SUMIF(Balances!$C$6:$C$45,$A18,Balances!J$6:J$45))</f>
        <v/>
      </c>
      <c r="I18" s="15" t="str">
        <f aca="false">IF(COUNT(Balances!K$6:K$45)=0,"",SUMIF(Balances!$C$6:$C$45,$A18,Balances!K$6:K$45))</f>
        <v/>
      </c>
      <c r="J18" s="15" t="str">
        <f aca="false">IF(COUNT(Balances!L$6:L$45)=0,"",SUMIF(Balances!$C$6:$C$45,$A18,Balances!L$6:L$45))</f>
        <v/>
      </c>
      <c r="K18" s="15" t="str">
        <f aca="false">IF(COUNT(Balances!M$6:M$45)=0,"",SUMIF(Balances!$C$6:$C$45,$A18,Balances!M$6:M$45))</f>
        <v/>
      </c>
      <c r="L18" s="15" t="str">
        <f aca="false">IF(COUNT(Balances!N$6:N$45)=0,"",SUMIF(Balances!$C$6:$C$45,$A18,Balances!N$6:N$45))</f>
        <v/>
      </c>
      <c r="M18" s="15" t="str">
        <f aca="false">IF(COUNT(Balances!O$6:O$45)=0,"",SUMIF(Balances!$C$6:$C$45,$A18,Balances!O$6:O$45))</f>
        <v/>
      </c>
      <c r="N18" s="15" t="str">
        <f aca="false">IF(COUNT(Balances!P$6:P$45)=0,"",SUMIF(Balances!$C$6:$C$45,$A18,Balances!P$6:P$45))</f>
        <v/>
      </c>
      <c r="O18" s="15" t="str">
        <f aca="false">IFERROR(LOOKUP(2,1/(B18:N18&lt;&gt;""),B18:N18)-B18,"")</f>
        <v/>
      </c>
    </row>
    <row r="19" customFormat="false" ht="15" hidden="false" customHeight="false" outlineLevel="0" collapsed="false">
      <c r="A19" s="21" t="s">
        <v>54</v>
      </c>
      <c r="B19" s="15" t="str">
        <f aca="false">IF(COUNT(Balances!D$6:D$45)=0,"",SUMIF(Balances!$C$6:$C$45,$A19,Balances!D$6:D$45))</f>
        <v/>
      </c>
      <c r="C19" s="15" t="str">
        <f aca="false">IF(COUNT(Balances!E$6:E$45)=0,"",SUMIF(Balances!$C$6:$C$45,$A19,Balances!E$6:E$45))</f>
        <v/>
      </c>
      <c r="D19" s="15" t="str">
        <f aca="false">IF(COUNT(Balances!F$6:F$45)=0,"",SUMIF(Balances!$C$6:$C$45,$A19,Balances!F$6:F$45))</f>
        <v/>
      </c>
      <c r="E19" s="15" t="str">
        <f aca="false">IF(COUNT(Balances!G$6:G$45)=0,"",SUMIF(Balances!$C$6:$C$45,$A19,Balances!G$6:G$45))</f>
        <v/>
      </c>
      <c r="F19" s="15" t="str">
        <f aca="false">IF(COUNT(Balances!H$6:H$45)=0,"",SUMIF(Balances!$C$6:$C$45,$A19,Balances!H$6:H$45))</f>
        <v/>
      </c>
      <c r="G19" s="15" t="str">
        <f aca="false">IF(COUNT(Balances!I$6:I$45)=0,"",SUMIF(Balances!$C$6:$C$45,$A19,Balances!I$6:I$45))</f>
        <v/>
      </c>
      <c r="H19" s="15" t="str">
        <f aca="false">IF(COUNT(Balances!J$6:J$45)=0,"",SUMIF(Balances!$C$6:$C$45,$A19,Balances!J$6:J$45))</f>
        <v/>
      </c>
      <c r="I19" s="15" t="str">
        <f aca="false">IF(COUNT(Balances!K$6:K$45)=0,"",SUMIF(Balances!$C$6:$C$45,$A19,Balances!K$6:K$45))</f>
        <v/>
      </c>
      <c r="J19" s="15" t="str">
        <f aca="false">IF(COUNT(Balances!L$6:L$45)=0,"",SUMIF(Balances!$C$6:$C$45,$A19,Balances!L$6:L$45))</f>
        <v/>
      </c>
      <c r="K19" s="15" t="str">
        <f aca="false">IF(COUNT(Balances!M$6:M$45)=0,"",SUMIF(Balances!$C$6:$C$45,$A19,Balances!M$6:M$45))</f>
        <v/>
      </c>
      <c r="L19" s="15" t="str">
        <f aca="false">IF(COUNT(Balances!N$6:N$45)=0,"",SUMIF(Balances!$C$6:$C$45,$A19,Balances!N$6:N$45))</f>
        <v/>
      </c>
      <c r="M19" s="15" t="str">
        <f aca="false">IF(COUNT(Balances!O$6:O$45)=0,"",SUMIF(Balances!$C$6:$C$45,$A19,Balances!O$6:O$45))</f>
        <v/>
      </c>
      <c r="N19" s="15" t="str">
        <f aca="false">IF(COUNT(Balances!P$6:P$45)=0,"",SUMIF(Balances!$C$6:$C$45,$A19,Balances!P$6:P$45))</f>
        <v/>
      </c>
      <c r="O19" s="15" t="str">
        <f aca="false">IFERROR(LOOKUP(2,1/(B19:N19&lt;&gt;""),B19:N19)-B19,"")</f>
        <v/>
      </c>
    </row>
    <row r="20" customFormat="false" ht="15" hidden="false" customHeight="false" outlineLevel="0" collapsed="false">
      <c r="A20" s="21" t="s">
        <v>95</v>
      </c>
      <c r="B20" s="15" t="str">
        <f aca="false">IF(COUNT(Balances!D$6:D$45)=0,"",SUMIF(Balances!$C$6:$C$45,$A20,Balances!D$6:D$45))</f>
        <v/>
      </c>
      <c r="C20" s="15" t="str">
        <f aca="false">IF(COUNT(Balances!E$6:E$45)=0,"",SUMIF(Balances!$C$6:$C$45,$A20,Balances!E$6:E$45))</f>
        <v/>
      </c>
      <c r="D20" s="15" t="str">
        <f aca="false">IF(COUNT(Balances!F$6:F$45)=0,"",SUMIF(Balances!$C$6:$C$45,$A20,Balances!F$6:F$45))</f>
        <v/>
      </c>
      <c r="E20" s="15" t="str">
        <f aca="false">IF(COUNT(Balances!G$6:G$45)=0,"",SUMIF(Balances!$C$6:$C$45,$A20,Balances!G$6:G$45))</f>
        <v/>
      </c>
      <c r="F20" s="15" t="str">
        <f aca="false">IF(COUNT(Balances!H$6:H$45)=0,"",SUMIF(Balances!$C$6:$C$45,$A20,Balances!H$6:H$45))</f>
        <v/>
      </c>
      <c r="G20" s="15" t="str">
        <f aca="false">IF(COUNT(Balances!I$6:I$45)=0,"",SUMIF(Balances!$C$6:$C$45,$A20,Balances!I$6:I$45))</f>
        <v/>
      </c>
      <c r="H20" s="15" t="str">
        <f aca="false">IF(COUNT(Balances!J$6:J$45)=0,"",SUMIF(Balances!$C$6:$C$45,$A20,Balances!J$6:J$45))</f>
        <v/>
      </c>
      <c r="I20" s="15" t="str">
        <f aca="false">IF(COUNT(Balances!K$6:K$45)=0,"",SUMIF(Balances!$C$6:$C$45,$A20,Balances!K$6:K$45))</f>
        <v/>
      </c>
      <c r="J20" s="15" t="str">
        <f aca="false">IF(COUNT(Balances!L$6:L$45)=0,"",SUMIF(Balances!$C$6:$C$45,$A20,Balances!L$6:L$45))</f>
        <v/>
      </c>
      <c r="K20" s="15" t="str">
        <f aca="false">IF(COUNT(Balances!M$6:M$45)=0,"",SUMIF(Balances!$C$6:$C$45,$A20,Balances!M$6:M$45))</f>
        <v/>
      </c>
      <c r="L20" s="15" t="str">
        <f aca="false">IF(COUNT(Balances!N$6:N$45)=0,"",SUMIF(Balances!$C$6:$C$45,$A20,Balances!N$6:N$45))</f>
        <v/>
      </c>
      <c r="M20" s="15" t="str">
        <f aca="false">IF(COUNT(Balances!O$6:O$45)=0,"",SUMIF(Balances!$C$6:$C$45,$A20,Balances!O$6:O$45))</f>
        <v/>
      </c>
      <c r="N20" s="15" t="str">
        <f aca="false">IF(COUNT(Balances!P$6:P$45)=0,"",SUMIF(Balances!$C$6:$C$45,$A20,Balances!P$6:P$45))</f>
        <v/>
      </c>
      <c r="O20" s="15" t="str">
        <f aca="false">IFERROR(LOOKUP(2,1/(B20:N20&lt;&gt;""),B20:N20)-B20,"")</f>
        <v/>
      </c>
    </row>
    <row r="21" customFormat="false" ht="15" hidden="false" customHeight="false" outlineLevel="0" collapsed="false">
      <c r="A21" s="5" t="s">
        <v>56</v>
      </c>
      <c r="B21" s="12" t="str">
        <f aca="false">IF(COUNT(B15:B20)=0,"",SUM(B15:B20))</f>
        <v/>
      </c>
      <c r="C21" s="12" t="str">
        <f aca="false">IF(COUNT(C15:C20)=0,"",SUM(C15:C20))</f>
        <v/>
      </c>
      <c r="D21" s="12" t="str">
        <f aca="false">IF(COUNT(D15:D20)=0,"",SUM(D15:D20))</f>
        <v/>
      </c>
      <c r="E21" s="12" t="str">
        <f aca="false">IF(COUNT(E15:E20)=0,"",SUM(E15:E20))</f>
        <v/>
      </c>
      <c r="F21" s="12" t="str">
        <f aca="false">IF(COUNT(F15:F20)=0,"",SUM(F15:F20))</f>
        <v/>
      </c>
      <c r="G21" s="12" t="str">
        <f aca="false">IF(COUNT(G15:G20)=0,"",SUM(G15:G20))</f>
        <v/>
      </c>
      <c r="H21" s="12" t="str">
        <f aca="false">IF(COUNT(H15:H20)=0,"",SUM(H15:H20))</f>
        <v/>
      </c>
      <c r="I21" s="12" t="str">
        <f aca="false">IF(COUNT(I15:I20)=0,"",SUM(I15:I20))</f>
        <v/>
      </c>
      <c r="J21" s="12" t="str">
        <f aca="false">IF(COUNT(J15:J20)=0,"",SUM(J15:J20))</f>
        <v/>
      </c>
      <c r="K21" s="12" t="str">
        <f aca="false">IF(COUNT(K15:K20)=0,"",SUM(K15:K20))</f>
        <v/>
      </c>
      <c r="L21" s="12" t="str">
        <f aca="false">IF(COUNT(L15:L20)=0,"",SUM(L15:L20))</f>
        <v/>
      </c>
      <c r="M21" s="12" t="str">
        <f aca="false">IF(COUNT(M15:M20)=0,"",SUM(M15:M20))</f>
        <v/>
      </c>
      <c r="N21" s="12" t="str">
        <f aca="false">IF(COUNT(N15:N20)=0,"",SUM(N15:N20))</f>
        <v/>
      </c>
      <c r="O21" s="12" t="str">
        <f aca="false">IF(COUNT(O15:O20)=0,"",SUM(O15:O20))</f>
        <v/>
      </c>
    </row>
    <row r="23" customFormat="false" ht="15" hidden="false" customHeight="false" outlineLevel="0" collapsed="false">
      <c r="A23" s="5" t="s">
        <v>96</v>
      </c>
      <c r="N23" s="2" t="s">
        <v>97</v>
      </c>
      <c r="O23" s="22" t="str">
        <f aca="false">IF(OR(Settings!C5&lt;=0,COUNT(B6:N6)=0),"",LOOKUP(2,1/(B6:N6&lt;&gt;""),B6:N6)/Settings!C5)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BBBBB"/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6"/>
  </cols>
  <sheetData>
    <row r="1" customFormat="false" ht="15" hidden="false" customHeight="false" outlineLevel="0" collapsed="false">
      <c r="A1" s="5" t="s">
        <v>25</v>
      </c>
      <c r="B1" s="5" t="s">
        <v>98</v>
      </c>
      <c r="C1" s="5" t="s">
        <v>99</v>
      </c>
      <c r="D1" s="5" t="s">
        <v>100</v>
      </c>
    </row>
    <row r="2" customFormat="false" ht="15" hidden="false" customHeight="false" outlineLevel="0" collapsed="false">
      <c r="A2" s="0" t="s">
        <v>42</v>
      </c>
      <c r="B2" s="0" t="s">
        <v>43</v>
      </c>
      <c r="C2" s="0" t="s">
        <v>52</v>
      </c>
      <c r="D2" s="0" t="s">
        <v>43</v>
      </c>
    </row>
    <row r="3" customFormat="false" ht="15" hidden="false" customHeight="false" outlineLevel="0" collapsed="false">
      <c r="A3" s="0" t="s">
        <v>51</v>
      </c>
      <c r="B3" s="0" t="s">
        <v>45</v>
      </c>
      <c r="C3" s="0" t="s">
        <v>92</v>
      </c>
      <c r="D3" s="0" t="s">
        <v>45</v>
      </c>
    </row>
    <row r="4" customFormat="false" ht="15" hidden="false" customHeight="false" outlineLevel="0" collapsed="false">
      <c r="B4" s="0" t="s">
        <v>47</v>
      </c>
      <c r="C4" s="0" t="s">
        <v>93</v>
      </c>
      <c r="D4" s="0" t="s">
        <v>47</v>
      </c>
    </row>
    <row r="5" customFormat="false" ht="15" hidden="false" customHeight="false" outlineLevel="0" collapsed="false">
      <c r="B5" s="0" t="s">
        <v>49</v>
      </c>
      <c r="C5" s="0" t="s">
        <v>94</v>
      </c>
      <c r="D5" s="0" t="s">
        <v>49</v>
      </c>
    </row>
    <row r="6" customFormat="false" ht="15" hidden="false" customHeight="false" outlineLevel="0" collapsed="false">
      <c r="B6" s="0" t="s">
        <v>88</v>
      </c>
      <c r="C6" s="0" t="s">
        <v>54</v>
      </c>
      <c r="D6" s="0" t="s">
        <v>88</v>
      </c>
    </row>
    <row r="7" customFormat="false" ht="15" hidden="false" customHeight="false" outlineLevel="0" collapsed="false">
      <c r="B7" s="0" t="s">
        <v>89</v>
      </c>
      <c r="C7" s="0" t="s">
        <v>95</v>
      </c>
      <c r="D7" s="0" t="s">
        <v>89</v>
      </c>
    </row>
    <row r="8" customFormat="false" ht="15" hidden="false" customHeight="false" outlineLevel="0" collapsed="false">
      <c r="B8" s="0" t="s">
        <v>90</v>
      </c>
      <c r="D8" s="0" t="s">
        <v>90</v>
      </c>
    </row>
    <row r="9" customFormat="false" ht="15" hidden="false" customHeight="false" outlineLevel="0" collapsed="false">
      <c r="D9" s="0" t="s">
        <v>52</v>
      </c>
    </row>
    <row r="10" customFormat="false" ht="15" hidden="false" customHeight="false" outlineLevel="0" collapsed="false">
      <c r="D10" s="0" t="s">
        <v>92</v>
      </c>
    </row>
    <row r="11" customFormat="false" ht="15" hidden="false" customHeight="false" outlineLevel="0" collapsed="false">
      <c r="D11" s="0" t="s">
        <v>93</v>
      </c>
    </row>
    <row r="12" customFormat="false" ht="15" hidden="false" customHeight="false" outlineLevel="0" collapsed="false">
      <c r="D12" s="0" t="s">
        <v>94</v>
      </c>
    </row>
    <row r="13" customFormat="false" ht="15" hidden="false" customHeight="false" outlineLevel="0" collapsed="false">
      <c r="D13" s="0" t="s">
        <v>54</v>
      </c>
    </row>
    <row r="14" customFormat="false" ht="15" hidden="false" customHeight="false" outlineLevel="0" collapsed="false">
      <c r="D14" s="0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2026-10-24T07:46:23Z</dcterms:created>
  <dc:creator>openpyxl</dc:creator>
  <dc:description/>
  <dc:language>en-US</dc:language>
  <cp:lastModifiedBy/>
  <dcterms:modified xsi:type="dcterms:W3CDTF">2026-10-24T07:46:24Z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